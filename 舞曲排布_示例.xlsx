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name="舞种配比" sheetId="1" state="visible" r:id="rId1"/>
    <sheet name="条件记录" sheetId="2" state="visible" r:id="rId2"/>
    <sheet name="排布结果" sheetId="3" state="visible" r:id="rId3"/>
    <sheet name="排列检查" sheetId="4" state="visible" r:id="rId4"/>
    <sheet name="完整曲序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_ "/>
  </numFmts>
  <fonts count="40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Segoe UI"/>
      <family val="2"/>
      <color theme="1"/>
      <sz val="6"/>
    </font>
    <font>
      <name val="Segoe UI"/>
      <family val="2"/>
      <color theme="1"/>
      <sz val="6"/>
    </font>
    <font>
      <name val="Segoe UI"/>
      <family val="2"/>
      <color theme="1"/>
      <sz val="6"/>
    </font>
    <font>
      <name val="等线"/>
      <charset val="134"/>
      <family val="2"/>
      <color theme="10"/>
      <sz val="11"/>
      <u val="single"/>
      <scheme val="minor"/>
    </font>
    <font>
      <name val="Segoe UI"/>
      <family val="2"/>
      <b val="1"/>
      <color theme="1"/>
      <sz val="10"/>
    </font>
    <font>
      <name val="等线"/>
      <charset val="134"/>
      <family val="2"/>
      <b val="1"/>
      <color theme="1"/>
      <sz val="10"/>
      <scheme val="minor"/>
    </font>
    <font>
      <name val="宋体"/>
      <charset val="134"/>
      <family val="2"/>
      <color theme="1"/>
      <sz val="6"/>
    </font>
    <font>
      <name val="微软雅黑"/>
      <charset val="134"/>
      <family val="2"/>
      <color theme="1"/>
      <sz val="6"/>
    </font>
    <font>
      <name val="宋体"/>
      <charset val="134"/>
      <family val="3"/>
      <color theme="1"/>
      <sz val="6"/>
    </font>
    <font>
      <name val="微软雅黑"/>
      <charset val="134"/>
      <family val="2"/>
      <b val="1"/>
      <color theme="1"/>
      <sz val="10"/>
    </font>
    <font>
      <name val="Segoe UI"/>
      <family val="2"/>
      <color rgb="FF0F1115"/>
      <sz val="6"/>
    </font>
    <font>
      <name val="等线"/>
      <charset val="134"/>
      <family val="2"/>
      <color theme="1"/>
      <sz val="6"/>
      <scheme val="minor"/>
    </font>
    <font>
      <name val="等线"/>
      <charset val="134"/>
      <family val="2"/>
      <color rgb="FFFF0000"/>
      <sz val="11"/>
      <scheme val="minor"/>
    </font>
    <font>
      <name val="Segoe UI"/>
      <family val="2"/>
      <color rgb="FF7030A0"/>
      <sz val="6"/>
    </font>
    <font>
      <name val="Segoe UI"/>
      <family val="2"/>
      <color rgb="FFFF0000"/>
      <sz val="10"/>
    </font>
    <font>
      <name val="等线"/>
      <charset val="134"/>
      <family val="2"/>
      <color theme="1"/>
      <sz val="9"/>
      <scheme val="minor"/>
    </font>
    <font>
      <name val="等线"/>
      <charset val="134"/>
      <family val="3"/>
      <color theme="1"/>
      <sz val="9"/>
      <scheme val="minor"/>
    </font>
    <font>
      <name val="等线"/>
      <charset val="134"/>
      <family val="2"/>
      <color rgb="FF00B050"/>
      <sz val="10"/>
      <scheme val="minor"/>
    </font>
    <font>
      <name val="等线"/>
      <charset val="134"/>
      <family val="2"/>
      <color rgb="FF00B0F0"/>
      <sz val="12"/>
      <scheme val="minor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2"/>
      <color rgb="FF0070C0"/>
      <sz val="11"/>
      <scheme val="minor"/>
    </font>
    <font>
      <name val="等线"/>
      <charset val="134"/>
      <family val="3"/>
      <color rgb="FF0070C0"/>
      <sz val="11"/>
      <scheme val="minor"/>
    </font>
    <font>
      <name val="等线"/>
      <charset val="134"/>
      <family val="3"/>
      <color rgb="FF92D05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Segoe UI"/>
      <family val="2"/>
      <b val="1"/>
      <color rgb="FF7030A0"/>
      <sz val="10"/>
    </font>
    <font>
      <name val="Segoe UI"/>
      <family val="2"/>
      <color theme="1"/>
      <sz val="10"/>
    </font>
    <font>
      <name val="Segoe UI"/>
      <family val="2"/>
      <color rgb="FF7030A0"/>
      <sz val="10"/>
    </font>
    <font>
      <name val="等线"/>
      <charset val="134"/>
      <family val="2"/>
      <color theme="1"/>
      <sz val="10"/>
      <scheme val="minor"/>
    </font>
    <font>
      <name val="华文楷体"/>
      <charset val="134"/>
      <family val="3"/>
      <b val="1"/>
      <color rgb="FFFF0000"/>
      <sz val="12"/>
    </font>
    <font>
      <name val="华文楷体"/>
      <charset val="134"/>
      <family val="3"/>
      <b val="1"/>
      <color rgb="FF00B0F0"/>
      <sz val="12"/>
    </font>
    <font>
      <name val="华文楷体"/>
      <charset val="134"/>
      <family val="3"/>
      <b val="1"/>
      <color theme="1"/>
      <sz val="12"/>
    </font>
    <font>
      <name val="华文楷体"/>
      <charset val="134"/>
      <family val="3"/>
      <b val="1"/>
      <color rgb="FF7030A0"/>
      <sz val="12"/>
    </font>
    <font>
      <name val="华文楷体"/>
      <charset val="134"/>
      <family val="3"/>
      <color theme="1"/>
      <sz val="12"/>
    </font>
    <font>
      <name val="Segoe UI"/>
      <family val="2"/>
      <b val="1"/>
      <color rgb="FFFF0000"/>
      <sz val="10"/>
    </font>
    <font>
      <name val="等线"/>
      <charset val="134"/>
      <family val="2"/>
      <b val="1"/>
      <color rgb="FFFF0000"/>
      <sz val="10"/>
      <scheme val="minor"/>
    </font>
    <font>
      <name val="方正姚体"/>
      <charset val="134"/>
      <family val="3"/>
      <b val="1"/>
      <color theme="1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</fonts>
  <fills count="11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5" fillId="0" borderId="0" applyAlignment="1">
      <alignment vertical="center"/>
    </xf>
  </cellStyleXfs>
  <cellXfs count="121">
    <xf numFmtId="0" fontId="0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1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49" fontId="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0" fillId="3" borderId="0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 wrapText="1"/>
    </xf>
    <xf numFmtId="49" fontId="2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center" wrapText="1"/>
    </xf>
    <xf numFmtId="0" fontId="0" fillId="4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 wrapText="1"/>
    </xf>
    <xf numFmtId="49" fontId="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 wrapText="1"/>
    </xf>
    <xf numFmtId="49" fontId="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vertical="center"/>
    </xf>
    <xf numFmtId="0" fontId="8" fillId="6" borderId="1" applyAlignment="1" pivotButton="0" quotePrefix="0" xfId="0">
      <alignment vertical="center" wrapText="1"/>
    </xf>
    <xf numFmtId="0" fontId="0" fillId="6" borderId="0" applyAlignment="1" pivotButton="0" quotePrefix="0" xfId="0">
      <alignment vertical="center"/>
    </xf>
    <xf numFmtId="0" fontId="4" fillId="6" borderId="1" applyAlignment="1" pivotButton="0" quotePrefix="0" xfId="0">
      <alignment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49" fontId="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vertical="center" wrapText="1"/>
    </xf>
    <xf numFmtId="0" fontId="0" fillId="7" borderId="0" applyAlignment="1" pivotButton="0" quotePrefix="0" xfId="0">
      <alignment vertical="center"/>
    </xf>
    <xf numFmtId="0" fontId="4" fillId="7" borderId="1" applyAlignment="1" pivotButton="0" quotePrefix="0" xfId="0">
      <alignment vertical="center" wrapText="1"/>
    </xf>
    <xf numFmtId="21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8" borderId="2" applyAlignment="1" pivotButton="0" quotePrefix="0" xfId="0">
      <alignment horizontal="center" vertical="center" wrapText="1"/>
    </xf>
    <xf numFmtId="21" fontId="3" fillId="0" borderId="3" applyAlignment="1" pivotButton="0" quotePrefix="0" xfId="0">
      <alignment horizontal="center" vertical="center" wrapText="1"/>
    </xf>
    <xf numFmtId="21" fontId="16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21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21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21" fontId="0" fillId="0" borderId="0" applyAlignment="1" pivotButton="0" quotePrefix="0" xfId="0">
      <alignment vertical="center"/>
    </xf>
    <xf numFmtId="21" fontId="7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2" borderId="5" applyAlignment="1" pivotButton="0" quotePrefix="0" xfId="0">
      <alignment horizontal="center" vertical="center"/>
    </xf>
    <xf numFmtId="0" fontId="25" fillId="3" borderId="5" applyAlignment="1" pivotButton="0" quotePrefix="0" xfId="0">
      <alignment horizontal="center" vertical="center"/>
    </xf>
    <xf numFmtId="0" fontId="25" fillId="5" borderId="5" applyAlignment="1" pivotButton="0" quotePrefix="0" xfId="0">
      <alignment horizontal="center" vertical="center"/>
    </xf>
    <xf numFmtId="0" fontId="25" fillId="6" borderId="5" applyAlignment="1" pivotButton="0" quotePrefix="0" xfId="0">
      <alignment horizontal="center" vertical="center"/>
    </xf>
    <xf numFmtId="0" fontId="25" fillId="7" borderId="6" applyAlignment="1" pivotButton="0" quotePrefix="0" xfId="0">
      <alignment horizontal="center" vertical="center"/>
    </xf>
    <xf numFmtId="0" fontId="25" fillId="4" borderId="5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 wrapText="1"/>
    </xf>
    <xf numFmtId="0" fontId="27" fillId="0" borderId="7" applyAlignment="1" pivotButton="0" quotePrefix="0" xfId="0">
      <alignment horizontal="center" vertical="center" wrapText="1"/>
    </xf>
    <xf numFmtId="0" fontId="28" fillId="0" borderId="7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center"/>
    </xf>
    <xf numFmtId="0" fontId="30" fillId="0" borderId="4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center" vertical="center" wrapText="1"/>
    </xf>
    <xf numFmtId="0" fontId="31" fillId="0" borderId="5" applyAlignment="1" pivotButton="0" quotePrefix="0" xfId="0">
      <alignment horizontal="center" vertical="center" wrapText="1"/>
    </xf>
    <xf numFmtId="0" fontId="32" fillId="0" borderId="5" applyAlignment="1" pivotButton="0" quotePrefix="0" xfId="0">
      <alignment horizontal="center" vertical="center" wrapText="1"/>
    </xf>
    <xf numFmtId="0" fontId="33" fillId="0" borderId="5" applyAlignment="1" pivotButton="0" quotePrefix="0" xfId="0">
      <alignment horizontal="center" vertical="center" wrapText="1"/>
    </xf>
    <xf numFmtId="0" fontId="32" fillId="0" borderId="6" applyAlignment="1" pivotButton="0" quotePrefix="0" xfId="0">
      <alignment horizontal="center" vertical="center" wrapText="1"/>
    </xf>
    <xf numFmtId="0" fontId="34" fillId="0" borderId="0" applyAlignment="1" pivotButton="0" quotePrefix="0" xfId="0">
      <alignment vertical="center"/>
    </xf>
    <xf numFmtId="0" fontId="0" fillId="9" borderId="0" applyAlignment="1" pivotButton="0" quotePrefix="1" xfId="0">
      <alignment horizontal="center" vertical="center"/>
    </xf>
    <xf numFmtId="0" fontId="27" fillId="0" borderId="0" applyAlignment="1" pivotButton="0" quotePrefix="0" xfId="0">
      <alignment horizontal="left" vertical="center" wrapText="1"/>
    </xf>
    <xf numFmtId="0" fontId="0" fillId="10" borderId="0" applyAlignment="1" pivotButton="0" quotePrefix="0" xfId="0">
      <alignment vertical="center"/>
    </xf>
    <xf numFmtId="0" fontId="25" fillId="0" borderId="0" applyAlignment="1" pivotButton="0" quotePrefix="0" xfId="0">
      <alignment horizontal="center" vertical="center"/>
    </xf>
    <xf numFmtId="0" fontId="35" fillId="2" borderId="1" applyAlignment="1" pivotButton="0" quotePrefix="0" xfId="0">
      <alignment horizontal="center" vertical="center" wrapText="1"/>
    </xf>
    <xf numFmtId="0" fontId="35" fillId="3" borderId="1" applyAlignment="1" pivotButton="0" quotePrefix="0" xfId="0">
      <alignment horizontal="center" vertical="center" wrapText="1"/>
    </xf>
    <xf numFmtId="0" fontId="35" fillId="4" borderId="1" applyAlignment="1" pivotButton="0" quotePrefix="0" xfId="0">
      <alignment horizontal="center" vertical="center" wrapText="1"/>
    </xf>
    <xf numFmtId="0" fontId="35" fillId="5" borderId="1" applyAlignment="1" pivotButton="0" quotePrefix="0" xfId="0">
      <alignment horizontal="center" vertical="center" wrapText="1"/>
    </xf>
    <xf numFmtId="0" fontId="35" fillId="6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2">
    <cellStyle name="常规" xfId="0" builtinId="0"/>
    <cellStyle name="超链接" xfId="1" builtinId="8"/>
  </cellStyles>
  <dxfs count="24">
    <dxf>
      <font>
        <color theme="0" tint="-0.3499862666707358"/>
      </font>
    </dxf>
    <dxf>
      <font>
        <color theme="5" tint="-0.249946592608417"/>
      </font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4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7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4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FangHan Zhu</author>
  </authors>
  <commentList>
    <comment ref="D1" authorId="0" shapeId="0">
      <text>
        <t>FangHan Zhu:
手动输入数值</t>
      </text>
    </comment>
  </commentList>
</comments>
</file>

<file path=xl/comments/comment2.xml><?xml version="1.0" encoding="utf-8"?>
<comments xmlns="http://schemas.openxmlformats.org/spreadsheetml/2006/main">
  <authors>
    <author>FangHan Zhu</author>
  </authors>
  <commentList>
    <comment ref="G1" authorId="0" shapeId="0">
      <text>
        <t>FangHan Zhu:
此项输出记录已设置关闭</t>
      </text>
    </comment>
  </commentList>
</comments>
</file>

<file path=xl/comments/comment3.xml><?xml version="1.0" encoding="utf-8"?>
<comments xmlns="http://schemas.openxmlformats.org/spreadsheetml/2006/main">
  <authors>
    <author>FangHan Zhu</author>
  </authors>
  <commentList>
    <comment ref="I1" authorId="0" shapeId="0">
      <text>
        <t>FangHan Zhu:
此列用来做判断和显示用，不能删除！</t>
      </text>
    </comment>
  </commentList>
</comments>
</file>

<file path=xl/comments/comment4.xml><?xml version="1.0" encoding="utf-8"?>
<comments xmlns="http://schemas.openxmlformats.org/spreadsheetml/2006/main">
  <authors>
    <author>FangHan Zhu</author>
  </authors>
  <commentList>
    <comment ref="E1" authorId="0" shapeId="0">
      <text>
        <t>FangHan Zhu:
歌曲名里必须要包含《舞种名》</t>
      </text>
    </comment>
    <comment ref="G1" authorId="0" shapeId="0">
      <text>
        <t>FangHan Zhu:
从歌曲第几秒开始裁剪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I50"/>
  <sheetViews>
    <sheetView zoomScale="145" zoomScaleNormal="145" workbookViewId="0">
      <pane ySplit="1" topLeftCell="A2" activePane="bottomLeft" state="frozen"/>
      <selection pane="bottomLeft" activeCell="G37" sqref="G37"/>
    </sheetView>
  </sheetViews>
  <sheetFormatPr baseColWidth="8" defaultRowHeight="13.9"/>
  <cols>
    <col width="8.19921875" bestFit="1" customWidth="1" style="6" min="1" max="1"/>
    <col width="8.1328125" bestFit="1" customWidth="1" style="6" min="2" max="2"/>
    <col width="8.1328125" customWidth="1" style="6" min="3" max="3"/>
    <col width="5.33203125" customWidth="1" style="6" min="4" max="5"/>
    <col width="8.3984375" bestFit="1" customWidth="1" style="6" min="6" max="6"/>
    <col width="8.3984375" customWidth="1" style="6" min="7" max="7"/>
    <col width="16.33203125" customWidth="1" style="116" min="8" max="8"/>
    <col width="65.1328125" customWidth="1" style="116" min="9" max="9"/>
  </cols>
  <sheetData>
    <row r="1" ht="15.4" customFormat="1" customHeight="1" s="3">
      <c r="A1" s="2" t="inlineStr">
        <is>
          <t>大类</t>
        </is>
      </c>
      <c r="B1" s="2" t="inlineStr">
        <is>
          <t>舞种</t>
        </is>
      </c>
      <c r="C1" s="2" t="inlineStr">
        <is>
          <t>节奏</t>
        </is>
      </c>
      <c r="D1" s="2" t="inlineStr">
        <is>
          <t>数量</t>
        </is>
      </c>
      <c r="E1" s="2" t="inlineStr">
        <is>
          <t>节拍</t>
        </is>
      </c>
      <c r="F1" s="2" t="inlineStr">
        <is>
          <t>BPM范围</t>
        </is>
      </c>
      <c r="G1" s="2" t="inlineStr">
        <is>
          <t>小节个数</t>
        </is>
      </c>
      <c r="H1" s="2" t="inlineStr">
        <is>
          <t>风格定位</t>
        </is>
      </c>
      <c r="I1" s="2" t="inlineStr">
        <is>
          <t>曲目建议</t>
        </is>
      </c>
    </row>
    <row r="2" ht="15.4" customFormat="1" customHeight="1" s="21">
      <c r="A2" s="16" t="inlineStr">
        <is>
          <t>摩登舞</t>
        </is>
      </c>
      <c r="B2" s="16" t="inlineStr">
        <is>
          <t>华尔兹</t>
        </is>
      </c>
      <c r="C2" s="16" t="inlineStr">
        <is>
          <t>慢</t>
        </is>
      </c>
      <c r="D2" s="108" t="n">
        <v>3</v>
      </c>
      <c r="E2" s="17" t="inlineStr">
        <is>
          <t>3/4</t>
        </is>
      </c>
      <c r="F2" s="18" t="n"/>
      <c r="G2" s="16" t="inlineStr">
        <is>
          <t>28-30小节/分</t>
        </is>
      </c>
      <c r="H2" s="19" t="inlineStr">
        <is>
          <t>优雅开场/收尾</t>
        </is>
      </c>
      <c r="I2" s="20" t="inlineStr">
        <is>
          <t>《》《》《》</t>
        </is>
      </c>
    </row>
    <row r="3" ht="15.4" customFormat="1" customHeight="1" s="21">
      <c r="A3" s="16" t="inlineStr">
        <is>
          <t>摩登舞</t>
        </is>
      </c>
      <c r="B3" s="16" t="inlineStr">
        <is>
          <t>维也纳华尔兹</t>
        </is>
      </c>
      <c r="C3" s="16" t="inlineStr">
        <is>
          <t>快</t>
        </is>
      </c>
      <c r="D3" s="108" t="n">
        <v>2</v>
      </c>
      <c r="E3" s="17" t="inlineStr">
        <is>
          <t>3/4</t>
        </is>
      </c>
      <c r="F3" s="18" t="n"/>
      <c r="G3" s="22" t="inlineStr">
        <is>
          <t>56-60小节/分</t>
        </is>
      </c>
      <c r="H3" s="23" t="inlineStr">
        <is>
          <t>高速旋转、刺激</t>
        </is>
      </c>
      <c r="I3" s="20" t="inlineStr">
        <is>
          <t>《》《》《》</t>
        </is>
      </c>
    </row>
    <row r="4" ht="15.4" customFormat="1" customHeight="1" s="21">
      <c r="A4" s="16" t="inlineStr">
        <is>
          <t>摩登舞</t>
        </is>
      </c>
      <c r="B4" s="16" t="inlineStr">
        <is>
          <t>探戈</t>
        </is>
      </c>
      <c r="C4" s="16" t="inlineStr">
        <is>
          <t>中</t>
        </is>
      </c>
      <c r="D4" s="108" t="n">
        <v>1</v>
      </c>
      <c r="E4" s="17" t="inlineStr">
        <is>
          <t>2/4</t>
        </is>
      </c>
      <c r="F4" s="18" t="n"/>
      <c r="G4" s="22" t="inlineStr">
        <is>
          <t>30-34小节/分</t>
        </is>
      </c>
      <c r="H4" s="19" t="inlineStr">
        <is>
          <t>顿挫有力</t>
        </is>
      </c>
      <c r="I4" s="20" t="inlineStr">
        <is>
          <t>《》《》《》</t>
        </is>
      </c>
    </row>
    <row r="5" ht="15.4" customFormat="1" customHeight="1" s="21">
      <c r="A5" s="16" t="inlineStr">
        <is>
          <t>摩登舞</t>
        </is>
      </c>
      <c r="B5" s="16" t="inlineStr">
        <is>
          <t>狐步</t>
        </is>
      </c>
      <c r="C5" s="16" t="inlineStr">
        <is>
          <t>慢</t>
        </is>
      </c>
      <c r="D5" s="108" t="n">
        <v>1</v>
      </c>
      <c r="E5" s="17" t="inlineStr">
        <is>
          <t>4/4</t>
        </is>
      </c>
      <c r="F5" s="18" t="n"/>
      <c r="G5" s="16" t="inlineStr">
        <is>
          <t>28-30小节/分</t>
        </is>
      </c>
      <c r="H5" s="19" t="inlineStr">
        <is>
          <t>飘逸流畅</t>
        </is>
      </c>
      <c r="I5" s="20" t="inlineStr">
        <is>
          <t>《》《》《》</t>
        </is>
      </c>
    </row>
    <row r="6" ht="15.4" customFormat="1" customHeight="1" s="21">
      <c r="A6" s="16" t="inlineStr">
        <is>
          <t>摩登舞</t>
        </is>
      </c>
      <c r="B6" s="16" t="inlineStr">
        <is>
          <t>快步</t>
        </is>
      </c>
      <c r="C6" s="16" t="inlineStr">
        <is>
          <t>快</t>
        </is>
      </c>
      <c r="D6" s="108" t="n">
        <v>1</v>
      </c>
      <c r="E6" s="17" t="inlineStr">
        <is>
          <t>4/4</t>
        </is>
      </c>
      <c r="F6" s="18" t="n"/>
      <c r="G6" s="22" t="inlineStr">
        <is>
          <t>50-52小节/分</t>
        </is>
      </c>
      <c r="H6" s="19" t="inlineStr">
        <is>
          <t>轻快跳跃</t>
        </is>
      </c>
      <c r="I6" s="20" t="inlineStr">
        <is>
          <t>《》《》《》</t>
        </is>
      </c>
    </row>
    <row r="7" ht="15.4" customFormat="1" customHeight="1" s="30">
      <c r="A7" s="24" t="inlineStr">
        <is>
          <t>拉丁舞</t>
        </is>
      </c>
      <c r="B7" s="24" t="inlineStr">
        <is>
          <t>伦巴</t>
        </is>
      </c>
      <c r="C7" s="24" t="inlineStr">
        <is>
          <t>慢</t>
        </is>
      </c>
      <c r="D7" s="109" t="n">
        <v>4</v>
      </c>
      <c r="E7" s="25" t="inlineStr">
        <is>
          <t>4/4</t>
        </is>
      </c>
      <c r="F7" s="26" t="n"/>
      <c r="G7" s="27" t="inlineStr">
        <is>
          <t>27-29小节/分</t>
        </is>
      </c>
      <c r="H7" s="28" t="inlineStr">
        <is>
          <t>缠绵抒情</t>
        </is>
      </c>
      <c r="I7" s="29" t="inlineStr">
        <is>
          <t>《》《》《》</t>
        </is>
      </c>
    </row>
    <row r="8" ht="15.4" customFormat="1" customHeight="1" s="30">
      <c r="A8" s="24" t="inlineStr">
        <is>
          <t>拉丁舞</t>
        </is>
      </c>
      <c r="B8" s="24" t="inlineStr">
        <is>
          <t>恰恰</t>
        </is>
      </c>
      <c r="C8" s="24" t="inlineStr">
        <is>
          <t>快</t>
        </is>
      </c>
      <c r="D8" s="109" t="n">
        <v>3</v>
      </c>
      <c r="E8" s="25" t="inlineStr">
        <is>
          <t>4/4</t>
        </is>
      </c>
      <c r="F8" s="26" t="n"/>
      <c r="G8" s="24" t="inlineStr">
        <is>
          <t>30-32小节/分</t>
        </is>
      </c>
      <c r="H8" s="28" t="inlineStr">
        <is>
          <t>欢快俏皮</t>
        </is>
      </c>
      <c r="I8" s="29" t="inlineStr">
        <is>
          <t>《》《》《》</t>
        </is>
      </c>
    </row>
    <row r="9" ht="15.4" customFormat="1" customHeight="1" s="30">
      <c r="A9" s="24" t="inlineStr">
        <is>
          <t>拉丁舞</t>
        </is>
      </c>
      <c r="B9" s="24" t="inlineStr">
        <is>
          <t>桑巴</t>
        </is>
      </c>
      <c r="C9" s="24" t="inlineStr">
        <is>
          <t>快</t>
        </is>
      </c>
      <c r="D9" s="109" t="n">
        <v>2</v>
      </c>
      <c r="E9" s="25" t="inlineStr">
        <is>
          <t>2/4</t>
        </is>
      </c>
      <c r="F9" s="26" t="n"/>
      <c r="G9" s="27" t="inlineStr">
        <is>
          <t>52-54小节/分</t>
        </is>
      </c>
      <c r="H9" s="28" t="inlineStr">
        <is>
          <t>热情弹动</t>
        </is>
      </c>
      <c r="I9" s="29" t="inlineStr">
        <is>
          <t>《》《》《》</t>
        </is>
      </c>
    </row>
    <row r="10" ht="15.4" customFormat="1" customHeight="1" s="30">
      <c r="A10" s="24" t="inlineStr">
        <is>
          <t>拉丁舞</t>
        </is>
      </c>
      <c r="B10" s="24" t="inlineStr">
        <is>
          <t>牛仔</t>
        </is>
      </c>
      <c r="C10" s="24" t="inlineStr">
        <is>
          <t>快</t>
        </is>
      </c>
      <c r="D10" s="109" t="n">
        <v>1</v>
      </c>
      <c r="E10" s="25" t="inlineStr">
        <is>
          <t>4/4</t>
        </is>
      </c>
      <c r="F10" s="26" t="n"/>
      <c r="G10" s="27" t="inlineStr">
        <is>
          <t>42-44小节/分</t>
        </is>
      </c>
      <c r="H10" s="28" t="inlineStr">
        <is>
          <t>活泼跳跃</t>
        </is>
      </c>
      <c r="I10" s="29" t="inlineStr">
        <is>
          <t>《》《》《》</t>
        </is>
      </c>
    </row>
    <row r="11" ht="15.4" customFormat="1" customHeight="1" s="30">
      <c r="A11" s="24" t="inlineStr">
        <is>
          <t>拉丁舞</t>
        </is>
      </c>
      <c r="B11" s="24" t="inlineStr">
        <is>
          <t>斗牛</t>
        </is>
      </c>
      <c r="C11" s="24" t="inlineStr">
        <is>
          <t>中</t>
        </is>
      </c>
      <c r="D11" s="109" t="n">
        <v>1</v>
      </c>
      <c r="E11" s="25" t="inlineStr">
        <is>
          <t>2/4</t>
        </is>
      </c>
      <c r="F11" s="26" t="n"/>
      <c r="G11" s="27" t="inlineStr">
        <is>
          <t>60-62小节/分</t>
        </is>
      </c>
      <c r="H11" s="28" t="inlineStr">
        <is>
          <t>气势磅礴</t>
        </is>
      </c>
      <c r="I11" s="29" t="inlineStr">
        <is>
          <t>《》《》《》</t>
        </is>
      </c>
    </row>
    <row r="12" ht="15.4" customFormat="1" customHeight="1" s="36">
      <c r="A12" s="31" t="inlineStr">
        <is>
          <t>地方舞</t>
        </is>
      </c>
      <c r="B12" s="31" t="inlineStr">
        <is>
          <t>三步踩</t>
        </is>
      </c>
      <c r="C12" s="31" t="inlineStr">
        <is>
          <t>中</t>
        </is>
      </c>
      <c r="D12" s="110" t="n">
        <v>2</v>
      </c>
      <c r="E12" s="32" t="inlineStr">
        <is>
          <t>2/4</t>
        </is>
      </c>
      <c r="F12" s="33" t="inlineStr">
        <is>
          <t>88-96</t>
        </is>
      </c>
      <c r="G12" s="34" t="inlineStr">
        <is>
          <t>44-48小节/分</t>
        </is>
      </c>
      <c r="H12" s="35" t="inlineStr">
        <is>
          <t>动作潇洒、花样繁多</t>
        </is>
      </c>
      <c r="I12" s="35" t="inlineStr">
        <is>
          <t>《山谷里的思念》《酒醉的蝴蝶》《又见山里红》</t>
        </is>
      </c>
    </row>
    <row r="13" ht="15.4" customFormat="1" customHeight="1" s="36">
      <c r="A13" s="31" t="inlineStr">
        <is>
          <t>地方舞</t>
        </is>
      </c>
      <c r="B13" s="31" t="inlineStr">
        <is>
          <t>平四</t>
        </is>
      </c>
      <c r="C13" s="31" t="inlineStr">
        <is>
          <t>中</t>
        </is>
      </c>
      <c r="D13" s="110" t="n">
        <v>2</v>
      </c>
      <c r="E13" s="32" t="inlineStr">
        <is>
          <t>2/4</t>
        </is>
      </c>
      <c r="F13" s="33" t="inlineStr">
        <is>
          <t>88-96</t>
        </is>
      </c>
      <c r="G13" s="34" t="inlineStr">
        <is>
          <t>44-48小节/分</t>
        </is>
      </c>
      <c r="H13" s="35" t="inlineStr">
        <is>
          <t>欢快、活泼、流畅</t>
        </is>
      </c>
      <c r="I13" s="35" t="inlineStr">
        <is>
          <t>《又见山里红》《动起来舞起来》《爱在身上留下了伤》</t>
        </is>
      </c>
    </row>
    <row r="14" ht="15.4" customFormat="1" customHeight="1" s="43">
      <c r="A14" s="37" t="inlineStr">
        <is>
          <t>交谊舞</t>
        </is>
      </c>
      <c r="B14" s="37" t="inlineStr">
        <is>
          <t>慢三</t>
        </is>
      </c>
      <c r="C14" s="37" t="inlineStr">
        <is>
          <t>慢</t>
        </is>
      </c>
      <c r="D14" s="111" t="n">
        <v>3</v>
      </c>
      <c r="E14" s="38" t="inlineStr">
        <is>
          <t>3/4</t>
        </is>
      </c>
      <c r="F14" s="39" t="inlineStr">
        <is>
          <t>84-105</t>
        </is>
      </c>
      <c r="G14" s="40" t="inlineStr">
        <is>
          <t>28-35小节/分</t>
        </is>
      </c>
      <c r="H14" s="41" t="inlineStr">
        <is>
          <t>高贵典雅、舒展流畅</t>
        </is>
      </c>
      <c r="I14" s="42" t="inlineStr">
        <is>
          <t>《友谊天长地久》《山楂树》《情醉桃花源》</t>
        </is>
      </c>
    </row>
    <row r="15" ht="15.4" customFormat="1" customHeight="1" s="43">
      <c r="A15" s="37" t="inlineStr">
        <is>
          <t>交谊舞</t>
        </is>
      </c>
      <c r="B15" s="37" t="inlineStr">
        <is>
          <t>慢四</t>
        </is>
      </c>
      <c r="C15" s="37" t="inlineStr">
        <is>
          <t>慢</t>
        </is>
      </c>
      <c r="D15" s="111" t="n">
        <v>3</v>
      </c>
      <c r="E15" s="38" t="inlineStr">
        <is>
          <t>4/4</t>
        </is>
      </c>
      <c r="F15" s="39" t="inlineStr">
        <is>
          <t>104-124</t>
        </is>
      </c>
      <c r="G15" s="40" t="inlineStr">
        <is>
          <t>26-31小节/分</t>
        </is>
      </c>
      <c r="H15" s="41" t="inlineStr">
        <is>
          <t>端庄平稳、舒展优雅</t>
        </is>
      </c>
      <c r="I15" s="42" t="inlineStr">
        <is>
          <t>《陪你一起看草原》《爱是你我》《又见山里红》</t>
        </is>
      </c>
    </row>
    <row r="16" ht="15.4" customFormat="1" customHeight="1" s="43">
      <c r="A16" s="37" t="inlineStr">
        <is>
          <t>交谊舞</t>
        </is>
      </c>
      <c r="B16" s="44" t="inlineStr">
        <is>
          <t>并四</t>
        </is>
      </c>
      <c r="C16" s="44" t="inlineStr">
        <is>
          <t>中</t>
        </is>
      </c>
      <c r="D16" s="111" t="n">
        <v>1</v>
      </c>
      <c r="E16" s="38" t="inlineStr">
        <is>
          <t>2/4</t>
        </is>
      </c>
      <c r="F16" s="39" t="inlineStr">
        <is>
          <t>84-92</t>
        </is>
      </c>
      <c r="G16" s="40" t="inlineStr">
        <is>
          <t>42-46小节/分</t>
        </is>
      </c>
      <c r="H16" s="42" t="inlineStr">
        <is>
          <t>轻盈、优雅、流畅</t>
        </is>
      </c>
      <c r="I16" s="42" t="inlineStr">
        <is>
          <t>《卓玛拉》《久别的人》《为你等待》</t>
        </is>
      </c>
    </row>
    <row r="17" ht="15.4" customFormat="1" customHeight="1" s="43">
      <c r="A17" s="37" t="inlineStr">
        <is>
          <t>交谊舞</t>
        </is>
      </c>
      <c r="B17" s="44" t="inlineStr">
        <is>
          <t>水兵舞</t>
        </is>
      </c>
      <c r="C17" s="44" t="inlineStr">
        <is>
          <t>中</t>
        </is>
      </c>
      <c r="D17" s="111" t="n">
        <v>1</v>
      </c>
      <c r="E17" s="38" t="inlineStr">
        <is>
          <t>4/4</t>
        </is>
      </c>
      <c r="F17" s="39" t="inlineStr">
        <is>
          <t>136-152</t>
        </is>
      </c>
      <c r="G17" s="40" t="inlineStr">
        <is>
          <t>34-38小节/分</t>
        </is>
      </c>
      <c r="H17" s="42" t="inlineStr">
        <is>
          <t>轻松活泼，富有朝气</t>
        </is>
      </c>
      <c r="I17" s="42" t="inlineStr">
        <is>
          <t>《陪你牵手闯天涯》《美极了》《歌在飞》</t>
        </is>
      </c>
    </row>
    <row r="18" ht="15.4" customFormat="1" customHeight="1" s="43">
      <c r="A18" s="37" t="inlineStr">
        <is>
          <t>交谊舞</t>
        </is>
      </c>
      <c r="B18" s="44" t="inlineStr">
        <is>
          <t>鬼步舞</t>
        </is>
      </c>
      <c r="C18" s="44" t="inlineStr">
        <is>
          <t>快</t>
        </is>
      </c>
      <c r="D18" s="111" t="n">
        <v>1</v>
      </c>
      <c r="E18" s="38" t="inlineStr">
        <is>
          <t>4/4</t>
        </is>
      </c>
      <c r="F18" s="39" t="inlineStr">
        <is>
          <t>130-150</t>
        </is>
      </c>
      <c r="G18" s="40" t="inlineStr">
        <is>
          <t>32-38小节/分</t>
        </is>
      </c>
      <c r="H18" s="42" t="inlineStr">
        <is>
          <t>快速、有力、充满活力</t>
        </is>
      </c>
      <c r="I18" s="42" t="inlineStr">
        <is>
          <t>《Horizon》《I Can Walk On Water》《Battle 2 The End》</t>
        </is>
      </c>
    </row>
    <row r="19" ht="15.4" customFormat="1" customHeight="1" s="43">
      <c r="A19" s="37" t="inlineStr">
        <is>
          <t>交谊舞</t>
        </is>
      </c>
      <c r="B19" s="44" t="inlineStr">
        <is>
          <t>吉特巴</t>
        </is>
      </c>
      <c r="C19" s="44" t="inlineStr">
        <is>
          <t>中</t>
        </is>
      </c>
      <c r="D19" s="111" t="n">
        <v>1</v>
      </c>
      <c r="E19" s="38" t="inlineStr">
        <is>
          <t>4/4</t>
        </is>
      </c>
      <c r="F19" s="39" t="inlineStr">
        <is>
          <t>172-180</t>
        </is>
      </c>
      <c r="G19" s="40" t="inlineStr">
        <is>
          <t>43-45小节/分</t>
        </is>
      </c>
      <c r="H19" s="42" t="inlineStr">
        <is>
          <t>轻松活泼，幽默俏皮</t>
        </is>
      </c>
      <c r="I19" s="42" t="inlineStr">
        <is>
          <t>《可能》《家乡的月亮》《火火的草原火火的爱》</t>
        </is>
      </c>
    </row>
    <row r="20" ht="15.4" customFormat="1" customHeight="1" s="43">
      <c r="A20" s="37" t="inlineStr">
        <is>
          <t>交谊舞</t>
        </is>
      </c>
      <c r="B20" s="44" t="inlineStr">
        <is>
          <t>点帕斯</t>
        </is>
      </c>
      <c r="C20" s="44" t="inlineStr">
        <is>
          <t>中</t>
        </is>
      </c>
      <c r="D20" s="111" t="n">
        <v>1</v>
      </c>
      <c r="E20" s="38" t="inlineStr">
        <is>
          <t>4/4</t>
        </is>
      </c>
      <c r="F20" s="39" t="inlineStr">
        <is>
          <t>110-130</t>
        </is>
      </c>
      <c r="G20" s="40" t="inlineStr">
        <is>
          <t>28-32小节/分</t>
        </is>
      </c>
      <c r="H20" s="42" t="inlineStr">
        <is>
          <t>热情奔放、开放、洒脱</t>
        </is>
      </c>
      <c r="I20" s="42" t="inlineStr">
        <is>
          <t>《血染的风采》《罗刹海市》《青城山下白素贞》</t>
        </is>
      </c>
    </row>
    <row r="21" ht="15.4" customFormat="1" customHeight="1" s="43">
      <c r="A21" s="37" t="inlineStr">
        <is>
          <t>交谊舞</t>
        </is>
      </c>
      <c r="B21" s="44" t="inlineStr">
        <is>
          <t>休闲伦巴</t>
        </is>
      </c>
      <c r="C21" s="44" t="inlineStr">
        <is>
          <t>慢</t>
        </is>
      </c>
      <c r="D21" s="111" t="n">
        <v>1</v>
      </c>
      <c r="E21" s="38" t="inlineStr">
        <is>
          <t>4/4</t>
        </is>
      </c>
      <c r="F21" s="39" t="inlineStr">
        <is>
          <t>88-104</t>
        </is>
      </c>
      <c r="G21" s="40" t="inlineStr">
        <is>
          <t>22-26小节/分</t>
        </is>
      </c>
      <c r="H21" s="42" t="inlineStr">
        <is>
          <t>浪漫缠绵</t>
        </is>
      </c>
      <c r="I21" s="42" t="inlineStr">
        <is>
          <t>《Fairy Tale》《I Finally Found Someone》《Blue Night》</t>
        </is>
      </c>
    </row>
    <row r="22" ht="15.4" customFormat="1" customHeight="1" s="43">
      <c r="A22" s="37" t="inlineStr">
        <is>
          <t>交谊舞</t>
        </is>
      </c>
      <c r="B22" s="44" t="inlineStr">
        <is>
          <t>中三</t>
        </is>
      </c>
      <c r="C22" s="44" t="inlineStr">
        <is>
          <t>中</t>
        </is>
      </c>
      <c r="D22" s="111" t="n">
        <v>1</v>
      </c>
      <c r="E22" s="38" t="inlineStr">
        <is>
          <t>3/4</t>
        </is>
      </c>
      <c r="F22" s="39" t="n"/>
      <c r="G22" s="37" t="n"/>
      <c r="H22" s="45" t="n"/>
      <c r="I22" s="42" t="inlineStr">
        <is>
          <t>《》《》《》</t>
        </is>
      </c>
    </row>
    <row r="23" ht="15.4" customFormat="1" customHeight="1" s="43">
      <c r="A23" s="37" t="inlineStr">
        <is>
          <t>交谊舞</t>
        </is>
      </c>
      <c r="B23" s="44" t="inlineStr">
        <is>
          <t>中四</t>
        </is>
      </c>
      <c r="C23" s="44" t="inlineStr">
        <is>
          <t>中</t>
        </is>
      </c>
      <c r="D23" s="111" t="n">
        <v>1</v>
      </c>
      <c r="E23" s="38" t="inlineStr">
        <is>
          <t>4/4</t>
        </is>
      </c>
      <c r="F23" s="39" t="n"/>
      <c r="G23" s="37" t="n"/>
      <c r="H23" s="45" t="n"/>
      <c r="I23" s="42" t="inlineStr">
        <is>
          <t>《》《》《》</t>
        </is>
      </c>
    </row>
    <row r="24" ht="15.4" customFormat="1" customHeight="1" s="43">
      <c r="A24" s="37" t="inlineStr">
        <is>
          <t>交谊舞</t>
        </is>
      </c>
      <c r="B24" s="44" t="inlineStr">
        <is>
          <t>快四</t>
        </is>
      </c>
      <c r="C24" s="37" t="inlineStr">
        <is>
          <t>快</t>
        </is>
      </c>
      <c r="D24" s="111" t="n">
        <v>1</v>
      </c>
      <c r="E24" s="38" t="inlineStr">
        <is>
          <t>4/4</t>
        </is>
      </c>
      <c r="F24" s="39" t="n"/>
      <c r="G24" s="37" t="n"/>
      <c r="H24" s="45" t="n"/>
      <c r="I24" s="42" t="inlineStr">
        <is>
          <t>《》《》《》</t>
        </is>
      </c>
    </row>
    <row r="25" ht="15.4" customFormat="1" customHeight="1" s="52">
      <c r="A25" s="46" t="inlineStr">
        <is>
          <t>集体舞</t>
        </is>
      </c>
      <c r="B25" s="46" t="inlineStr">
        <is>
          <t>兔子舞</t>
        </is>
      </c>
      <c r="C25" s="46" t="inlineStr">
        <is>
          <t>中</t>
        </is>
      </c>
      <c r="D25" s="112" t="n">
        <v>1</v>
      </c>
      <c r="E25" s="47" t="inlineStr">
        <is>
          <t>4/4</t>
        </is>
      </c>
      <c r="F25" s="48" t="inlineStr">
        <is>
          <t>140-160</t>
        </is>
      </c>
      <c r="G25" s="49" t="inlineStr">
        <is>
          <t>35-40小节/分</t>
        </is>
      </c>
      <c r="H25" s="50" t="inlineStr">
        <is>
          <t>欢快、活泼、趣味性强</t>
        </is>
      </c>
      <c r="I25" s="51" t="inlineStr">
        <is>
          <t>《Penguin's Game》《Butterfly》《兔子爱吃萝卜》</t>
        </is>
      </c>
    </row>
    <row r="26" ht="15.4" customFormat="1" customHeight="1" s="52">
      <c r="A26" s="46" t="inlineStr">
        <is>
          <t>集体舞</t>
        </is>
      </c>
      <c r="B26" s="46" t="inlineStr">
        <is>
          <t>十六步</t>
        </is>
      </c>
      <c r="C26" s="46" t="inlineStr">
        <is>
          <t>中</t>
        </is>
      </c>
      <c r="D26" s="112" t="n">
        <v>1</v>
      </c>
      <c r="E26" s="47" t="n"/>
      <c r="F26" s="48" t="n"/>
      <c r="G26" s="46" t="n"/>
      <c r="H26" s="53" t="n"/>
      <c r="I26" s="51" t="inlineStr">
        <is>
          <t>《》《》《》</t>
        </is>
      </c>
    </row>
    <row r="27" ht="15.4" customFormat="1" customHeight="1" s="52">
      <c r="A27" s="46" t="inlineStr">
        <is>
          <t>集体舞</t>
        </is>
      </c>
      <c r="B27" s="46" t="inlineStr">
        <is>
          <t>三十二步</t>
        </is>
      </c>
      <c r="C27" s="46" t="inlineStr">
        <is>
          <t>中</t>
        </is>
      </c>
      <c r="D27" s="112" t="n">
        <v>1</v>
      </c>
      <c r="E27" s="47" t="inlineStr">
        <is>
          <t>4/4</t>
        </is>
      </c>
      <c r="F27" s="48" t="inlineStr">
        <is>
          <t>110-140</t>
        </is>
      </c>
      <c r="G27" s="46" t="inlineStr">
        <is>
          <t>58-81小节/分</t>
        </is>
      </c>
      <c r="H27" s="51" t="inlineStr">
        <is>
          <t>规整套路和迪斯科式的身体律动</t>
        </is>
      </c>
      <c r="I27" s="51" t="inlineStr">
        <is>
          <t>《Brother Louie》《独一无二》《坐上火车去拉萨》</t>
        </is>
      </c>
    </row>
    <row r="28" ht="15.4" customFormat="1" customHeight="1" s="52">
      <c r="A28" s="46" t="inlineStr">
        <is>
          <t>集体舞</t>
        </is>
      </c>
      <c r="B28" s="49" t="inlineStr">
        <is>
          <t>DJ</t>
        </is>
      </c>
      <c r="C28" s="49" t="inlineStr">
        <is>
          <t>中</t>
        </is>
      </c>
      <c r="D28" s="112" t="n">
        <v>1</v>
      </c>
      <c r="E28" s="47" t="n"/>
      <c r="F28" s="48" t="n"/>
      <c r="G28" s="46" t="n"/>
      <c r="H28" s="50" t="inlineStr">
        <is>
          <t>节奏强劲、动感十足</t>
        </is>
      </c>
      <c r="I28" s="51" t="inlineStr">
        <is>
          <t>《Brother Louie》《The Middle》《狂浪》</t>
        </is>
      </c>
    </row>
    <row r="29" ht="15.4" customFormat="1" customHeight="1" s="60">
      <c r="A29" s="54" t="inlineStr">
        <is>
          <t>网红舞</t>
        </is>
      </c>
      <c r="B29" s="54" t="inlineStr">
        <is>
          <t>汉舞</t>
        </is>
      </c>
      <c r="C29" s="54" t="inlineStr">
        <is>
          <t>慢</t>
        </is>
      </c>
      <c r="D29" s="113" t="n">
        <v>1</v>
      </c>
      <c r="E29" s="56" t="inlineStr">
        <is>
          <t>4/4</t>
        </is>
      </c>
      <c r="F29" s="57" t="inlineStr">
        <is>
          <t>88-104</t>
        </is>
      </c>
      <c r="G29" s="58" t="inlineStr">
        <is>
          <t>22-26小节/分</t>
        </is>
      </c>
      <c r="H29" s="59" t="inlineStr">
        <is>
          <t>舞姿柔媚、浪漫迷人</t>
        </is>
      </c>
      <c r="I29" s="59" t="inlineStr">
        <is>
          <t>《见与不见》《情醉黄鹤楼》《》</t>
        </is>
      </c>
    </row>
    <row r="30" ht="15.4" customFormat="1" customHeight="1" s="60">
      <c r="A30" s="54" t="inlineStr">
        <is>
          <t>网红舞</t>
        </is>
      </c>
      <c r="B30" s="54" t="inlineStr">
        <is>
          <t>唐舞</t>
        </is>
      </c>
      <c r="C30" s="54" t="inlineStr">
        <is>
          <t>慢</t>
        </is>
      </c>
      <c r="D30" s="113" t="n">
        <v>1</v>
      </c>
      <c r="E30" s="56" t="inlineStr">
        <is>
          <t>4/4</t>
        </is>
      </c>
      <c r="F30" s="58" t="n"/>
      <c r="G30" s="55" t="n"/>
      <c r="H30" s="61" t="n"/>
      <c r="I30" s="59" t="inlineStr">
        <is>
          <t>《》《》《》</t>
        </is>
      </c>
    </row>
    <row r="31" ht="15.4" customFormat="1" customHeight="1" s="60">
      <c r="A31" s="54" t="inlineStr">
        <is>
          <t>网红舞</t>
        </is>
      </c>
      <c r="B31" s="54" t="inlineStr">
        <is>
          <t>周舞</t>
        </is>
      </c>
      <c r="C31" s="54" t="inlineStr">
        <is>
          <t>慢</t>
        </is>
      </c>
      <c r="D31" s="113" t="n">
        <v>1</v>
      </c>
      <c r="E31" s="56" t="inlineStr">
        <is>
          <t>4/4</t>
        </is>
      </c>
      <c r="F31" s="58" t="n"/>
      <c r="G31" s="55" t="n"/>
      <c r="H31" s="61" t="n"/>
      <c r="I31" s="59" t="n"/>
    </row>
    <row r="32" ht="15.4" customHeight="1" s="116">
      <c r="A32" s="8" t="inlineStr">
        <is>
          <t>表演</t>
        </is>
      </c>
      <c r="B32" s="8" t="n"/>
      <c r="C32" s="8" t="n"/>
      <c r="D32" s="114" t="n">
        <v>0</v>
      </c>
      <c r="E32" s="14" t="n"/>
      <c r="F32" s="10" t="inlineStr">
        <is>
          <t>—</t>
        </is>
      </c>
      <c r="G32" s="5" t="n"/>
      <c r="H32" s="1" t="inlineStr">
        <is>
          <t>培训师示范或嘉宾表演</t>
        </is>
      </c>
      <c r="I32" s="12" t="n"/>
    </row>
    <row r="33">
      <c r="D33" s="115" t="n"/>
    </row>
    <row r="34">
      <c r="D34" s="115" t="n"/>
    </row>
    <row r="35">
      <c r="D35" s="115" t="n"/>
    </row>
    <row r="36">
      <c r="D36" s="115" t="n"/>
    </row>
    <row r="37">
      <c r="D37" s="115" t="n"/>
    </row>
    <row r="38">
      <c r="D38" s="115" t="n"/>
    </row>
    <row r="39">
      <c r="D39" s="115" t="n"/>
    </row>
    <row r="40">
      <c r="D40" s="115" t="n"/>
    </row>
    <row r="41">
      <c r="D41" s="115" t="n"/>
    </row>
    <row r="42">
      <c r="D42" s="115" t="n"/>
    </row>
    <row r="43">
      <c r="D43" s="115" t="n"/>
    </row>
    <row r="44">
      <c r="D44" s="115" t="n"/>
    </row>
    <row r="45">
      <c r="D45" s="115" t="n"/>
    </row>
    <row r="46">
      <c r="D46" s="115" t="n"/>
    </row>
    <row r="47">
      <c r="D47" s="115" t="n"/>
    </row>
    <row r="48">
      <c r="D48" s="115" t="n"/>
    </row>
    <row r="49">
      <c r="D49" s="115" t="n"/>
    </row>
    <row r="50">
      <c r="D50" s="115" t="n"/>
    </row>
  </sheetData>
  <conditionalFormatting sqref="D2:D32">
    <cfRule type="dataBar" priority="12">
      <dataBar>
        <cfvo type="min"/>
        <cfvo type="max"/>
        <color rgb="FFFFFF00"/>
      </dataBar>
    </cfRule>
  </conditionalFormatting>
  <dataValidations count="1">
    <dataValidation sqref="C2:C32" showDropDown="0" showInputMessage="1" showErrorMessage="1" allowBlank="1" type="list">
      <formula1>"慢,中,快"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/>
  </sheetPr>
  <dimension ref="A1:G12"/>
  <sheetViews>
    <sheetView tabSelected="1" workbookViewId="0">
      <selection activeCell="D16" sqref="D16"/>
    </sheetView>
  </sheetViews>
  <sheetFormatPr baseColWidth="8" defaultRowHeight="13.9"/>
  <cols>
    <col width="17.19921875" bestFit="1" customWidth="1" style="6" min="1" max="1"/>
    <col width="8.796875" bestFit="1" customWidth="1" style="117" min="2" max="2"/>
    <col width="8.796875" bestFit="1" customWidth="1" style="6" min="3" max="3"/>
    <col width="29.59765625" customWidth="1" style="118" min="4" max="4"/>
    <col width="8.796875" bestFit="1" customWidth="1" style="6" min="5" max="5"/>
    <col width="37.3984375" bestFit="1" customWidth="1" style="116" min="6" max="6"/>
    <col width="8.796875" bestFit="1" customWidth="1" style="116" min="7" max="7"/>
  </cols>
  <sheetData>
    <row r="1" ht="12" customFormat="1" customHeight="1" s="119">
      <c r="A1" s="119" t="inlineStr">
        <is>
          <t>生成时间</t>
        </is>
      </c>
      <c r="B1" s="119" t="inlineStr">
        <is>
          <t>尝试次数</t>
        </is>
      </c>
      <c r="C1" s="119" t="inlineStr">
        <is>
          <t>结果列名</t>
        </is>
      </c>
      <c r="D1" s="119" t="inlineStr">
        <is>
          <t>固定位置</t>
        </is>
      </c>
      <c r="E1" s="119" t="inlineStr">
        <is>
          <t>舞种间隔</t>
        </is>
      </c>
      <c r="F1" s="119" t="inlineStr">
        <is>
          <t>应用规则</t>
        </is>
      </c>
      <c r="G1" s="119" t="inlineStr">
        <is>
          <t>功能配置</t>
        </is>
      </c>
    </row>
    <row r="2">
      <c r="A2" s="0" t="inlineStr">
        <is>
          <t>08月13日15时19分</t>
        </is>
      </c>
      <c r="B2" s="0" t="n">
        <v>7300</v>
      </c>
      <c r="C2" s="0" t="inlineStr">
        <is>
          <t>A</t>
        </is>
      </c>
      <c r="D2" s="0" t="inlineStr">
        <is>
          <t>1=慢四，20=DJ，45=华尔兹</t>
        </is>
      </c>
      <c r="E2" s="0" t="inlineStr">
        <is>
          <t>间隔3首</t>
        </is>
      </c>
      <c r="F2" s="0" t="inlineStr">
        <is>
          <t>同舞种间隔、大类不连续三次、节奏约束</t>
        </is>
      </c>
      <c r="G2" s="0" t="inlineStr">
        <is>
          <t>A:标题 + 艺术家 + 专辑；B:320k CBR 并发2；C:淡入0.1s 淡出5.0s；D:时长8s 音量0.2 位置middle</t>
        </is>
      </c>
    </row>
    <row r="3">
      <c r="A3" s="0" t="inlineStr">
        <is>
          <t>08月13日15时58分</t>
        </is>
      </c>
      <c r="B3" s="0" t="n">
        <v>32</v>
      </c>
      <c r="C3" s="0" t="inlineStr">
        <is>
          <t>B</t>
        </is>
      </c>
      <c r="D3" s="0" t="inlineStr">
        <is>
          <t>无固定位置</t>
        </is>
      </c>
      <c r="E3" s="0" t="inlineStr">
        <is>
          <t>间隔5首</t>
        </is>
      </c>
      <c r="F3" s="0" t="inlineStr">
        <is>
          <t>同舞种间隔、大类不连续三次、节奏约束</t>
        </is>
      </c>
    </row>
    <row r="4">
      <c r="A4" s="0" t="n"/>
      <c r="B4" s="0" t="n"/>
      <c r="C4" s="0" t="n"/>
      <c r="F4" s="0" t="n"/>
    </row>
    <row r="5">
      <c r="A5" s="0" t="n"/>
      <c r="B5" s="0" t="n"/>
      <c r="C5" s="0" t="n"/>
      <c r="F5" s="0" t="n"/>
    </row>
    <row r="6">
      <c r="A6" s="0" t="n"/>
      <c r="B6" s="0" t="n"/>
      <c r="C6" s="0" t="n"/>
      <c r="F6" s="0" t="n"/>
    </row>
    <row r="7">
      <c r="A7" s="0" t="n"/>
      <c r="B7" s="0" t="n"/>
      <c r="C7" s="0" t="n"/>
    </row>
    <row r="8">
      <c r="A8" s="0" t="n"/>
      <c r="B8" s="0" t="n"/>
      <c r="C8" s="0" t="n"/>
    </row>
    <row r="9">
      <c r="A9" s="0" t="n"/>
      <c r="B9" s="0" t="n"/>
      <c r="C9" s="0" t="n"/>
      <c r="D9" s="0" t="n"/>
      <c r="E9" s="0" t="n"/>
      <c r="F9" s="0" t="n"/>
    </row>
    <row r="10">
      <c r="A10" s="0" t="n"/>
      <c r="B10" s="0" t="n"/>
      <c r="C10" s="0" t="n"/>
      <c r="D10" s="0" t="n"/>
      <c r="E10" s="0" t="n"/>
      <c r="F10" s="0" t="n"/>
    </row>
    <row r="11">
      <c r="A11" s="0" t="n"/>
      <c r="B11" s="0" t="n"/>
      <c r="C11" s="0" t="n"/>
      <c r="D11" s="0" t="n"/>
      <c r="E11" s="0" t="n"/>
      <c r="F11" s="0" t="n"/>
    </row>
    <row r="12">
      <c r="A12" s="0" t="n"/>
      <c r="B12" s="0" t="n"/>
      <c r="C12" s="0" t="n"/>
      <c r="D12" s="0" t="n"/>
      <c r="E12" s="0" t="n"/>
      <c r="F12" s="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B45"/>
  <sheetViews>
    <sheetView workbookViewId="0">
      <selection activeCell="H8" sqref="H8"/>
    </sheetView>
  </sheetViews>
  <sheetFormatPr baseColWidth="8" defaultRowHeight="13.9"/>
  <sheetData>
    <row r="1">
      <c r="A1" s="0" t="inlineStr">
        <is>
          <t>慢四</t>
        </is>
      </c>
      <c r="B1" t="inlineStr">
        <is>
          <t>伦巴</t>
        </is>
      </c>
    </row>
    <row r="2">
      <c r="A2" s="0" t="inlineStr">
        <is>
          <t>兔子舞</t>
        </is>
      </c>
      <c r="B2" t="inlineStr">
        <is>
          <t>快步</t>
        </is>
      </c>
    </row>
    <row r="3">
      <c r="A3" s="0" t="inlineStr">
        <is>
          <t>周舞</t>
        </is>
      </c>
      <c r="B3" t="inlineStr">
        <is>
          <t>鬼步舞</t>
        </is>
      </c>
    </row>
    <row r="4">
      <c r="A4" s="0" t="inlineStr">
        <is>
          <t>伦巴</t>
        </is>
      </c>
      <c r="B4" t="inlineStr">
        <is>
          <t>DJ</t>
        </is>
      </c>
    </row>
    <row r="5">
      <c r="A5" s="0" t="inlineStr">
        <is>
          <t>中三</t>
        </is>
      </c>
      <c r="B5" t="inlineStr">
        <is>
          <t>桑巴</t>
        </is>
      </c>
    </row>
    <row r="6">
      <c r="A6" s="0" t="inlineStr">
        <is>
          <t>恰恰</t>
        </is>
      </c>
      <c r="B6" t="inlineStr">
        <is>
          <t>恰恰</t>
        </is>
      </c>
    </row>
    <row r="7">
      <c r="A7" s="0" t="inlineStr">
        <is>
          <t>华尔兹</t>
        </is>
      </c>
      <c r="B7" t="inlineStr">
        <is>
          <t>并四</t>
        </is>
      </c>
    </row>
    <row r="8">
      <c r="A8" s="0" t="inlineStr">
        <is>
          <t>慢三</t>
        </is>
      </c>
      <c r="B8" t="inlineStr">
        <is>
          <t>中四</t>
        </is>
      </c>
    </row>
    <row r="9">
      <c r="A9" s="0" t="inlineStr">
        <is>
          <t>中四</t>
        </is>
      </c>
      <c r="B9" t="inlineStr">
        <is>
          <t>华尔兹</t>
        </is>
      </c>
    </row>
    <row r="10">
      <c r="A10" s="0" t="inlineStr">
        <is>
          <t>唐舞</t>
        </is>
      </c>
      <c r="B10" t="inlineStr">
        <is>
          <t>吉特巴</t>
        </is>
      </c>
    </row>
    <row r="11">
      <c r="A11" s="0" t="inlineStr">
        <is>
          <t>伦巴</t>
        </is>
      </c>
      <c r="B11" t="inlineStr">
        <is>
          <t>狐步</t>
        </is>
      </c>
    </row>
    <row r="12">
      <c r="A12" s="0" t="inlineStr">
        <is>
          <t>维也纳华尔兹</t>
        </is>
      </c>
      <c r="B12" t="inlineStr">
        <is>
          <t>慢三</t>
        </is>
      </c>
    </row>
    <row r="13">
      <c r="A13" s="0" t="inlineStr">
        <is>
          <t>狐步</t>
        </is>
      </c>
      <c r="B13" t="inlineStr">
        <is>
          <t>平四</t>
        </is>
      </c>
    </row>
    <row r="14">
      <c r="A14" s="0" t="inlineStr">
        <is>
          <t>三步踩</t>
        </is>
      </c>
      <c r="B14" t="inlineStr">
        <is>
          <t>休闲伦巴</t>
        </is>
      </c>
    </row>
    <row r="15">
      <c r="A15" s="0" t="inlineStr">
        <is>
          <t>点帕斯</t>
        </is>
      </c>
      <c r="B15" t="inlineStr">
        <is>
          <t>周舞</t>
        </is>
      </c>
    </row>
    <row r="16">
      <c r="A16" s="0" t="inlineStr">
        <is>
          <t>慢三</t>
        </is>
      </c>
      <c r="B16" t="inlineStr">
        <is>
          <t>伦巴</t>
        </is>
      </c>
    </row>
    <row r="17">
      <c r="A17" s="0" t="inlineStr">
        <is>
          <t>恰恰</t>
        </is>
      </c>
      <c r="B17" t="inlineStr">
        <is>
          <t>三步踩</t>
        </is>
      </c>
    </row>
    <row r="18">
      <c r="A18" s="0" t="inlineStr">
        <is>
          <t>平四</t>
        </is>
      </c>
      <c r="B18" t="inlineStr">
        <is>
          <t>平四</t>
        </is>
      </c>
    </row>
    <row r="19">
      <c r="A19" s="0" t="inlineStr">
        <is>
          <t>慢三</t>
        </is>
      </c>
      <c r="B19" t="inlineStr">
        <is>
          <t>兔子舞</t>
        </is>
      </c>
    </row>
    <row r="20">
      <c r="A20" s="0" t="inlineStr">
        <is>
          <t>DJ</t>
        </is>
      </c>
      <c r="B20" t="inlineStr">
        <is>
          <t>桑巴</t>
        </is>
      </c>
    </row>
    <row r="21">
      <c r="A21" s="0" t="inlineStr">
        <is>
          <t>牛仔</t>
        </is>
      </c>
      <c r="B21" t="inlineStr">
        <is>
          <t>伦巴</t>
        </is>
      </c>
    </row>
    <row r="22">
      <c r="A22" s="0" t="inlineStr">
        <is>
          <t>并四</t>
        </is>
      </c>
      <c r="B22" t="inlineStr">
        <is>
          <t>华尔兹</t>
        </is>
      </c>
    </row>
    <row r="23">
      <c r="A23" s="0" t="inlineStr">
        <is>
          <t>维也纳华尔兹</t>
        </is>
      </c>
      <c r="B23" t="inlineStr">
        <is>
          <t>点帕斯</t>
        </is>
      </c>
    </row>
    <row r="24">
      <c r="A24" s="0" t="inlineStr">
        <is>
          <t>斗牛</t>
        </is>
      </c>
      <c r="B24" t="inlineStr">
        <is>
          <t>牛仔</t>
        </is>
      </c>
    </row>
    <row r="25">
      <c r="A25" s="0" t="inlineStr">
        <is>
          <t>桑巴</t>
        </is>
      </c>
      <c r="B25" t="inlineStr">
        <is>
          <t>维也纳华尔兹</t>
        </is>
      </c>
    </row>
    <row r="26">
      <c r="A26" s="0" t="inlineStr">
        <is>
          <t>休闲伦巴</t>
        </is>
      </c>
      <c r="B26" t="inlineStr">
        <is>
          <t>三步踩</t>
        </is>
      </c>
    </row>
    <row r="27">
      <c r="A27" s="0" t="inlineStr">
        <is>
          <t>华尔兹</t>
        </is>
      </c>
      <c r="B27" t="inlineStr">
        <is>
          <t>慢四</t>
        </is>
      </c>
    </row>
    <row r="28">
      <c r="A28" s="0" t="inlineStr">
        <is>
          <t>三十二步</t>
        </is>
      </c>
      <c r="B28" t="inlineStr">
        <is>
          <t>恰恰</t>
        </is>
      </c>
    </row>
    <row r="29">
      <c r="A29" s="0" t="inlineStr">
        <is>
          <t>恰恰</t>
        </is>
      </c>
      <c r="B29" t="inlineStr">
        <is>
          <t>中三</t>
        </is>
      </c>
    </row>
    <row r="30">
      <c r="A30" s="0" t="inlineStr">
        <is>
          <t>慢四</t>
        </is>
      </c>
      <c r="B30" t="inlineStr">
        <is>
          <t>探戈</t>
        </is>
      </c>
    </row>
    <row r="31">
      <c r="A31" s="0" t="inlineStr">
        <is>
          <t>水兵舞</t>
        </is>
      </c>
      <c r="B31" t="inlineStr">
        <is>
          <t>维也纳华尔兹</t>
        </is>
      </c>
    </row>
    <row r="32">
      <c r="A32" s="0" t="inlineStr">
        <is>
          <t>快步</t>
        </is>
      </c>
      <c r="B32" t="inlineStr">
        <is>
          <t>快四</t>
        </is>
      </c>
    </row>
    <row r="33">
      <c r="A33" s="0" t="inlineStr">
        <is>
          <t>伦巴</t>
        </is>
      </c>
      <c r="B33" t="inlineStr">
        <is>
          <t>伦巴</t>
        </is>
      </c>
    </row>
    <row r="34">
      <c r="A34" s="0" t="inlineStr">
        <is>
          <t>慢四</t>
        </is>
      </c>
      <c r="B34" t="inlineStr">
        <is>
          <t>十六步</t>
        </is>
      </c>
    </row>
    <row r="35">
      <c r="A35" s="0" t="inlineStr">
        <is>
          <t>吉特巴</t>
        </is>
      </c>
      <c r="B35" t="inlineStr">
        <is>
          <t>慢三</t>
        </is>
      </c>
    </row>
    <row r="36">
      <c r="A36" s="0" t="inlineStr">
        <is>
          <t>十六步</t>
        </is>
      </c>
      <c r="B36" t="inlineStr">
        <is>
          <t>汉舞</t>
        </is>
      </c>
    </row>
    <row r="37">
      <c r="A37" s="0" t="inlineStr">
        <is>
          <t>快四</t>
        </is>
      </c>
      <c r="B37" t="inlineStr">
        <is>
          <t>慢四</t>
        </is>
      </c>
    </row>
    <row r="38">
      <c r="A38" s="0" t="inlineStr">
        <is>
          <t>平四</t>
        </is>
      </c>
      <c r="B38" t="inlineStr">
        <is>
          <t>三十二步</t>
        </is>
      </c>
    </row>
    <row r="39">
      <c r="A39" s="0" t="inlineStr">
        <is>
          <t>伦巴</t>
        </is>
      </c>
      <c r="B39" t="inlineStr">
        <is>
          <t>华尔兹</t>
        </is>
      </c>
    </row>
    <row r="40">
      <c r="A40" s="0" t="inlineStr">
        <is>
          <t>三步踩</t>
        </is>
      </c>
      <c r="B40" t="inlineStr">
        <is>
          <t>慢三</t>
        </is>
      </c>
    </row>
    <row r="41">
      <c r="A41" s="0" t="inlineStr">
        <is>
          <t>桑巴</t>
        </is>
      </c>
      <c r="B41" t="inlineStr">
        <is>
          <t>斗牛</t>
        </is>
      </c>
    </row>
    <row r="42">
      <c r="A42" s="0" t="inlineStr">
        <is>
          <t>汉舞</t>
        </is>
      </c>
      <c r="B42" t="inlineStr">
        <is>
          <t>唐舞</t>
        </is>
      </c>
    </row>
    <row r="43">
      <c r="A43" s="0" t="inlineStr">
        <is>
          <t>鬼步舞</t>
        </is>
      </c>
      <c r="B43" t="inlineStr">
        <is>
          <t>水兵舞</t>
        </is>
      </c>
    </row>
    <row r="44">
      <c r="A44" s="0" t="inlineStr">
        <is>
          <t>探戈</t>
        </is>
      </c>
      <c r="B44" t="inlineStr">
        <is>
          <t>慢四</t>
        </is>
      </c>
    </row>
    <row r="45">
      <c r="A45" s="0" t="inlineStr">
        <is>
          <t>华尔兹</t>
        </is>
      </c>
      <c r="B45" t="inlineStr">
        <is>
          <t>恰恰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T55"/>
  <sheetViews>
    <sheetView topLeftCell="B1" workbookViewId="0">
      <selection activeCell="J12" sqref="J12"/>
    </sheetView>
  </sheetViews>
  <sheetFormatPr baseColWidth="8" defaultRowHeight="13.9"/>
  <cols>
    <col width="12.59765625" customWidth="1" style="116" min="3" max="3"/>
    <col width="10.59765625" customWidth="1" style="116" min="5" max="9"/>
    <col width="10.53125" customWidth="1" style="116" min="11" max="11"/>
    <col width="10.86328125" customWidth="1" style="116" min="14" max="14"/>
  </cols>
  <sheetData>
    <row r="1" ht="15" customFormat="1" customHeight="1" s="103" thickBot="1">
      <c r="A1" s="97" t="inlineStr">
        <is>
          <t>序号</t>
        </is>
      </c>
      <c r="B1" s="98" t="inlineStr">
        <is>
          <t>大类</t>
        </is>
      </c>
      <c r="C1" s="98" t="inlineStr">
        <is>
          <t>舞种</t>
        </is>
      </c>
      <c r="D1" s="98" t="inlineStr">
        <is>
          <t>节奏</t>
        </is>
      </c>
      <c r="E1" s="99" t="inlineStr">
        <is>
          <t>大类相邻</t>
        </is>
      </c>
      <c r="F1" s="99" t="inlineStr">
        <is>
          <t>舞种间隔</t>
        </is>
      </c>
      <c r="G1" s="99" t="inlineStr">
        <is>
          <t>节奏检查</t>
        </is>
      </c>
      <c r="H1" s="99" t="inlineStr">
        <is>
          <t>前次行号</t>
        </is>
      </c>
      <c r="I1" s="99" t="inlineStr">
        <is>
          <t>前次间隔</t>
        </is>
      </c>
      <c r="J1" s="100" t="n"/>
      <c r="K1" s="101" t="inlineStr">
        <is>
          <t>统计项</t>
        </is>
      </c>
      <c r="L1" s="100" t="inlineStr">
        <is>
          <t>值</t>
        </is>
      </c>
      <c r="M1" s="100" t="n"/>
      <c r="N1" s="101" t="inlineStr">
        <is>
          <t>区间统计</t>
        </is>
      </c>
      <c r="O1" s="100" t="inlineStr">
        <is>
          <t>摩登舞</t>
        </is>
      </c>
      <c r="P1" s="100" t="inlineStr">
        <is>
          <t>拉丁舞</t>
        </is>
      </c>
      <c r="Q1" s="100" t="inlineStr">
        <is>
          <t>地方舞</t>
        </is>
      </c>
      <c r="R1" s="100" t="inlineStr">
        <is>
          <t>交谊舞</t>
        </is>
      </c>
      <c r="S1" s="100" t="inlineStr">
        <is>
          <t>集体舞</t>
        </is>
      </c>
      <c r="T1" s="102" t="inlineStr">
        <is>
          <t>网红舞</t>
        </is>
      </c>
    </row>
    <row r="2" ht="15" customHeight="1" s="116">
      <c r="A2" s="92">
        <f>ROW()-1</f>
        <v/>
      </c>
      <c r="B2" s="92">
        <f>_xlfn.XLOOKUP($C2,舞种配比!$B$2:$B$91,舞种配比!$A$2:$A$91,"")</f>
        <v/>
      </c>
      <c r="C2" s="93" t="n"/>
      <c r="D2" s="92">
        <f>_xlfn.XLOOKUP($C2,舞种配比!$B$2:$B$91,舞种配比!$C$2:$C$91,"")</f>
        <v/>
      </c>
      <c r="E2" s="105">
        <f>IF(ROW()&lt;4, "OK", IF(AND(B3=B2, B2=B1), "〿相邻3次", "OK"))</f>
        <v/>
      </c>
      <c r="F2" s="96">
        <f t="array" ref="F2">IF(COUNTIF(C$2:C2,C2)&gt;1, ROW()-MAX(IF(C$1:C1=C2,ROW(C$1:C1)))-1, "首次")</f>
        <v/>
      </c>
      <c r="G2" s="96">
        <f>IF(ROW()&gt;2, IF(D2=D1, "⚠️同节奏", "OK"), "OK")</f>
        <v/>
      </c>
      <c r="H2" s="96">
        <f>IF(F2="首次","",IF(F2&lt;5,"⚠️间隔"&amp;F2&amp;"首","间隔"&amp;F2&amp;"首✓"))</f>
        <v/>
      </c>
      <c r="I2" s="96" t="n"/>
      <c r="K2" s="6" t="inlineStr">
        <is>
          <t>总数量</t>
        </is>
      </c>
      <c r="L2" s="0">
        <f t="array" ref="L2">SUMPRODUCT(--(LEN(TRIM(C2:C96))&gt;0))</f>
        <v/>
      </c>
      <c r="N2" s="78" t="inlineStr">
        <is>
          <t>1-15</t>
        </is>
      </c>
      <c r="O2" s="6">
        <f>COUNTIFS($B$2:$B$16,"摩登舞")</f>
        <v/>
      </c>
      <c r="P2" s="6">
        <f>COUNTIFS($B$2:$B$16,"拉丁舞")</f>
        <v/>
      </c>
      <c r="Q2" s="6">
        <f>COUNTIFS($B$2:$B$16,"地方舞")</f>
        <v/>
      </c>
      <c r="R2" s="6">
        <f>COUNTIFS($B$2:$B$16,"交谊舞")</f>
        <v/>
      </c>
      <c r="S2" s="6">
        <f>COUNTIFS($B$2:$B$16,"集体舞")</f>
        <v/>
      </c>
      <c r="T2" s="6">
        <f>COUNTIFS($B$2:$B$16,"网红舞")</f>
        <v/>
      </c>
    </row>
    <row r="3" ht="15" customHeight="1" s="116">
      <c r="A3" s="94">
        <f>ROW()-1</f>
        <v/>
      </c>
      <c r="B3" s="94">
        <f>_xlfn.XLOOKUP($C3,舞种配比!$B$2:$B$91,舞种配比!$A$2:$A$91,"")</f>
        <v/>
      </c>
      <c r="C3" s="95" t="n"/>
      <c r="D3" s="94">
        <f>_xlfn.XLOOKUP($C3,舞种配比!$B$2:$B$91,舞种配比!$C$2:$C$91,"")</f>
        <v/>
      </c>
      <c r="E3" s="105">
        <f>IF(ROW()&lt;4, "OK", IF(AND(B4=B3, B3=B2), "〿相邻3次", "OK"))</f>
        <v/>
      </c>
      <c r="F3" s="96">
        <f t="array" ref="F3">IF(COUNTIF(C$2:C3,C3)&gt;1, ROW()-MAX(IF(C$1:C2=C3,ROW(C$1:C2)))-1, "首次")</f>
        <v/>
      </c>
      <c r="G3" s="96">
        <f>IF(ROW()&gt;2, IF(D3=D2, "⚠️同节奏", "OK"), "OK")</f>
        <v/>
      </c>
      <c r="H3" s="96">
        <f>IF(F3="首次","",IF(F3&lt;5,"⚠️间隔"&amp;F3&amp;"首","间隔"&amp;F3&amp;"首✓"))</f>
        <v/>
      </c>
      <c r="I3" s="96" t="n"/>
      <c r="K3" s="6" t="n"/>
      <c r="N3" s="104" t="inlineStr">
        <is>
          <t>16-30</t>
        </is>
      </c>
      <c r="O3" s="104">
        <f>COUNTIFS($B$17:$B$31,"摩登舞")</f>
        <v/>
      </c>
      <c r="P3" s="104">
        <f>COUNTIFS($B$17:$B$31,"拉丁舞")</f>
        <v/>
      </c>
      <c r="Q3" s="104">
        <f>COUNTIFS($B$17:$B$31,"地方舞")</f>
        <v/>
      </c>
      <c r="R3" s="104">
        <f>COUNTIFS($B$17:$B$31,"交谊舞")</f>
        <v/>
      </c>
      <c r="S3" s="104">
        <f>COUNTIFS($B$17:$B$31,"集体舞")</f>
        <v/>
      </c>
      <c r="T3" s="104">
        <f>COUNTIFS($B$17:$B$31,"网红舞")</f>
        <v/>
      </c>
    </row>
    <row r="4" ht="15" customHeight="1" s="116">
      <c r="A4" s="94">
        <f>ROW()-1</f>
        <v/>
      </c>
      <c r="B4" s="94">
        <f>_xlfn.XLOOKUP($C4,舞种配比!$B$2:$B$91,舞种配比!$A$2:$A$91,"")</f>
        <v/>
      </c>
      <c r="C4" s="95" t="n"/>
      <c r="D4" s="94">
        <f>_xlfn.XLOOKUP($C4,舞种配比!$B$2:$B$91,舞种配比!$C$2:$C$91,"")</f>
        <v/>
      </c>
      <c r="E4" s="105">
        <f>IF(ROW()&lt;4, "OK", IF(AND(B5=B4, B4=B3), "〿相邻3次", "OK"))</f>
        <v/>
      </c>
      <c r="F4" s="96">
        <f t="array" ref="F4">IF(COUNTIF(C$2:C4,C4)&gt;1, ROW()-MAX(IF(C$1:C3=C4,ROW(C$1:C3)))-1, "首次")</f>
        <v/>
      </c>
      <c r="G4" s="96">
        <f>IF(ROW()&gt;2, IF(D4=D3, "⚠️同节奏", "OK"), "OK")</f>
        <v/>
      </c>
      <c r="H4" s="96">
        <f>IF(F4="首次","",IF(F4&lt;5,"⚠️间隔"&amp;F4&amp;"首","间隔"&amp;F4&amp;"首✓"))</f>
        <v/>
      </c>
      <c r="I4" s="96" t="n"/>
      <c r="K4" s="81" t="inlineStr">
        <is>
          <t>慢舞</t>
        </is>
      </c>
      <c r="L4" s="82">
        <f>COUNTIF($D:$D,"慢")</f>
        <v/>
      </c>
      <c r="N4" s="78" t="inlineStr">
        <is>
          <t>31-50</t>
        </is>
      </c>
      <c r="O4" s="78">
        <f>COUNTIFS($B$32:$B$51,"摩登舞")</f>
        <v/>
      </c>
      <c r="P4" s="78">
        <f>COUNTIFS($B$32:$B$51,"拉丁舞")</f>
        <v/>
      </c>
      <c r="Q4" s="78">
        <f>COUNTIFS($B$32:$B$51,"地方舞")</f>
        <v/>
      </c>
      <c r="R4" s="78">
        <f>COUNTIFS($B$32:$B$51,"交谊舞")</f>
        <v/>
      </c>
      <c r="S4" s="78">
        <f>COUNTIFS($B$32:$B$51,"集体舞")</f>
        <v/>
      </c>
      <c r="T4" s="78">
        <f>COUNTIFS($B$32:$B$51,"网红舞")</f>
        <v/>
      </c>
    </row>
    <row r="5" ht="15" customHeight="1" s="116">
      <c r="A5" s="94">
        <f>ROW()-1</f>
        <v/>
      </c>
      <c r="B5" s="94">
        <f>_xlfn.XLOOKUP($C5,舞种配比!$B$2:$B$91,舞种配比!$A$2:$A$91,"")</f>
        <v/>
      </c>
      <c r="C5" s="95" t="n"/>
      <c r="D5" s="94">
        <f>_xlfn.XLOOKUP($C5,舞种配比!$B$2:$B$91,舞种配比!$C$2:$C$91,"")</f>
        <v/>
      </c>
      <c r="E5" s="105">
        <f>IF(ROW()&lt;4, "OK", IF(AND(B6=B5, B5=B4), "〿相邻3次", "OK"))</f>
        <v/>
      </c>
      <c r="F5" s="96">
        <f t="array" ref="F5">IF(COUNTIF(C$2:C5,C5)&gt;1, ROW()-MAX(IF(C$1:C4=C5,ROW(C$1:C4)))-1, "首次")</f>
        <v/>
      </c>
      <c r="G5" s="96">
        <f>IF(ROW()&gt;2, IF(D5=D4, "⚠️同节奏", "OK"), "OK")</f>
        <v/>
      </c>
      <c r="H5" s="96">
        <f>IF(F5="首次","",IF(F5&lt;5,"⚠️间隔"&amp;F5&amp;"首","间隔"&amp;F5&amp;"首✓"))</f>
        <v/>
      </c>
      <c r="I5" s="96" t="n"/>
      <c r="K5" s="83" t="inlineStr">
        <is>
          <t>中速</t>
        </is>
      </c>
      <c r="L5" s="84">
        <f>COUNTIF($D:$D,"中")</f>
        <v/>
      </c>
      <c r="N5" s="78" t="n"/>
      <c r="O5" s="78" t="n"/>
      <c r="P5" s="78" t="n"/>
      <c r="Q5" s="78" t="n"/>
      <c r="R5" s="78" t="n"/>
      <c r="S5" s="78" t="n"/>
      <c r="T5" s="78" t="n"/>
    </row>
    <row r="6" ht="15" customHeight="1" s="116">
      <c r="A6" s="94">
        <f>ROW()-1</f>
        <v/>
      </c>
      <c r="B6" s="94">
        <f>_xlfn.XLOOKUP($C6,舞种配比!$B$2:$B$91,舞种配比!$A$2:$A$91,"")</f>
        <v/>
      </c>
      <c r="C6" s="95" t="n"/>
      <c r="D6" s="94">
        <f>_xlfn.XLOOKUP($C6,舞种配比!$B$2:$B$91,舞种配比!$C$2:$C$91,"")</f>
        <v/>
      </c>
      <c r="E6" s="105">
        <f>IF(ROW()&lt;4, "OK", IF(AND(B7=B6, B6=B5), "〿相邻3次", "OK"))</f>
        <v/>
      </c>
      <c r="F6" s="96">
        <f t="array" ref="F6">IF(COUNTIF(C$2:C6,C6)&gt;1, ROW()-MAX(IF(C$1:C5=C6,ROW(C$1:C5)))-1, "首次")</f>
        <v/>
      </c>
      <c r="G6" s="96">
        <f>IF(ROW()&gt;2, IF(D6=D5, "⚠️同节奏", "OK"), "OK")</f>
        <v/>
      </c>
      <c r="H6" s="96">
        <f>IF(F6="首次","",IF(F6&lt;5,"⚠️间隔"&amp;F6&amp;"首","间隔"&amp;F6&amp;"首✓"))</f>
        <v/>
      </c>
      <c r="I6" s="96" t="n"/>
      <c r="K6" s="79" t="inlineStr">
        <is>
          <t>快舞</t>
        </is>
      </c>
      <c r="L6" s="80">
        <f>COUNTIF($D:$D,"快")</f>
        <v/>
      </c>
      <c r="N6" s="78" t="n"/>
      <c r="O6" s="78" t="n"/>
      <c r="P6" s="78" t="n"/>
      <c r="Q6" s="78" t="n"/>
      <c r="R6" s="78" t="n"/>
      <c r="S6" s="78" t="n"/>
      <c r="T6" s="78" t="n"/>
    </row>
    <row r="7" ht="15" customHeight="1" s="116" thickBot="1">
      <c r="A7" s="94">
        <f>ROW()-1</f>
        <v/>
      </c>
      <c r="B7" s="94">
        <f>_xlfn.XLOOKUP($C7,舞种配比!$B$2:$B$91,舞种配比!$A$2:$A$91,"")</f>
        <v/>
      </c>
      <c r="C7" s="95" t="n"/>
      <c r="D7" s="94">
        <f>_xlfn.XLOOKUP($C7,舞种配比!$B$2:$B$91,舞种配比!$C$2:$C$91,"")</f>
        <v/>
      </c>
      <c r="E7" s="105">
        <f>IF(ROW()&lt;4, "OK", IF(AND(B8=B7, B7=B6), "〿相邻3次", "OK"))</f>
        <v/>
      </c>
      <c r="F7" s="96">
        <f t="array" ref="F7">IF(COUNTIF(C$2:C7,C7)&gt;1, ROW()-MAX(IF(C$1:C6=C7,ROW(C$1:C6)))-1, "首次")</f>
        <v/>
      </c>
      <c r="G7" s="96">
        <f>IF(ROW()&gt;2, IF(D7=D6, "⚠️同节奏", "OK"), "OK")</f>
        <v/>
      </c>
      <c r="H7" s="96">
        <f>IF(F7="首次","",IF(F7&lt;5,"⚠️间隔"&amp;F7&amp;"首","间隔"&amp;F7&amp;"首✓"))</f>
        <v/>
      </c>
      <c r="I7" s="96" t="n"/>
      <c r="K7" s="6" t="n"/>
    </row>
    <row r="8" ht="15" customHeight="1" s="116" thickBot="1">
      <c r="A8" s="94">
        <f>ROW()-1</f>
        <v/>
      </c>
      <c r="B8" s="94">
        <f>_xlfn.XLOOKUP($C8,舞种配比!$B$2:$B$91,舞种配比!$A$2:$A$91,"")</f>
        <v/>
      </c>
      <c r="C8" s="95" t="n"/>
      <c r="D8" s="94">
        <f>_xlfn.XLOOKUP($C8,舞种配比!$B$2:$B$91,舞种配比!$C$2:$C$91,"")</f>
        <v/>
      </c>
      <c r="E8" s="105">
        <f>IF(ROW()&lt;4, "OK", IF(AND(B9=B8, B8=B7), "〿相邻3次", "OK"))</f>
        <v/>
      </c>
      <c r="F8" s="96">
        <f t="array" ref="F8">IF(COUNTIF(C$2:C8,C8)&gt;1, ROW()-MAX(IF(C$1:C7=C8,ROW(C$1:C7)))-1, "首次")</f>
        <v/>
      </c>
      <c r="G8" s="96">
        <f>IF(ROW()&gt;2, IF(D8=D7, "⚠️同节奏", "OK"), "OK")</f>
        <v/>
      </c>
      <c r="H8" s="96">
        <f>IF(F8="首次","",IF(F8&lt;5,"⚠️间隔"&amp;F8&amp;"首","间隔"&amp;F8&amp;"首✓"))</f>
        <v/>
      </c>
      <c r="I8" s="96" t="n"/>
      <c r="K8" s="6" t="inlineStr">
        <is>
          <t>相邻错误</t>
        </is>
      </c>
      <c r="L8" s="106">
        <f>COUNTIF($E:$E,"〿*")</f>
        <v/>
      </c>
      <c r="N8" s="91" t="inlineStr">
        <is>
          <t>大类统计</t>
        </is>
      </c>
      <c r="O8" s="85">
        <f>COUNTIFS($B$2:$B$52,O$1)</f>
        <v/>
      </c>
      <c r="P8" s="86">
        <f>COUNTIFS($B$2:$B$52,P$1)</f>
        <v/>
      </c>
      <c r="Q8" s="90">
        <f>COUNTIFS($B$2:$B$52,Q$1)</f>
        <v/>
      </c>
      <c r="R8" s="87">
        <f>COUNTIFS($B$2:$B$52,R$1)</f>
        <v/>
      </c>
      <c r="S8" s="88">
        <f>COUNTIFS($B$2:$B$52,S$1)</f>
        <v/>
      </c>
      <c r="T8" s="89">
        <f>COUNTIFS($B$2:$B$52,T$1)</f>
        <v/>
      </c>
    </row>
    <row r="9" ht="15" customHeight="1" s="116">
      <c r="A9" s="94">
        <f>ROW()-1</f>
        <v/>
      </c>
      <c r="B9" s="94">
        <f>_xlfn.XLOOKUP($C9,舞种配比!$B$2:$B$91,舞种配比!$A$2:$A$91,"")</f>
        <v/>
      </c>
      <c r="C9" s="95" t="n"/>
      <c r="D9" s="94">
        <f>_xlfn.XLOOKUP($C9,舞种配比!$B$2:$B$91,舞种配比!$C$2:$C$91,"")</f>
        <v/>
      </c>
      <c r="E9" s="105">
        <f>IF(ROW()&lt;4, "OK", IF(AND(B10=B9, B9=B8), "〿相邻3次", "OK"))</f>
        <v/>
      </c>
      <c r="F9" s="96">
        <f t="array" ref="F9">IF(COUNTIF(C$2:C9,C9)&gt;1, ROW()-MAX(IF(C$1:C8=C9,ROW(C$1:C8)))-1, "首次")</f>
        <v/>
      </c>
      <c r="G9" s="96">
        <f>IF(ROW()&gt;2, IF(D9=D8, "⚠️同节奏", "OK"), "OK")</f>
        <v/>
      </c>
      <c r="H9" s="96">
        <f>IF(F9="首次","",IF(F9&lt;5,"⚠️间隔"&amp;F9&amp;"首","间隔"&amp;F9&amp;"首✓"))</f>
        <v/>
      </c>
      <c r="I9" s="96" t="n"/>
      <c r="K9" s="6" t="inlineStr">
        <is>
          <t>间隔错误</t>
        </is>
      </c>
      <c r="L9" s="106">
        <f>COUNTIF($H:$H,"⚠️*")</f>
        <v/>
      </c>
    </row>
    <row r="10" ht="15" customHeight="1" s="116">
      <c r="A10" s="94">
        <f>ROW()-1</f>
        <v/>
      </c>
      <c r="B10" s="94">
        <f>_xlfn.XLOOKUP($C10,舞种配比!$B$2:$B$91,舞种配比!$A$2:$A$91,"")</f>
        <v/>
      </c>
      <c r="C10" s="95" t="n"/>
      <c r="D10" s="94">
        <f>_xlfn.XLOOKUP($C10,舞种配比!$B$2:$B$91,舞种配比!$C$2:$C$91,"")</f>
        <v/>
      </c>
      <c r="E10" s="105">
        <f>IF(ROW()&lt;4, "OK", IF(AND(B11=B10, B10=B9), "〿相邻3次", "OK"))</f>
        <v/>
      </c>
      <c r="F10" s="96">
        <f t="array" ref="F10">IF(COUNTIF(C$2:C10,C10)&gt;1, ROW()-MAX(IF(C$1:C9=C10,ROW(C$1:C9)))-1, "首次")</f>
        <v/>
      </c>
      <c r="G10" s="96">
        <f>IF(ROW()&gt;2, IF(D10=D9, "⚠️同节奏", "OK"), "OK")</f>
        <v/>
      </c>
      <c r="H10" s="96">
        <f>IF(F10="首次","",IF(F10&lt;5,"⚠️间隔"&amp;F10&amp;"首","间隔"&amp;F10&amp;"首✓"))</f>
        <v/>
      </c>
      <c r="I10" s="96" t="n"/>
      <c r="K10" s="6" t="inlineStr">
        <is>
          <t>节奏错误</t>
        </is>
      </c>
      <c r="L10" s="106">
        <f>COUNTIF($G:$G,"⚠️*")</f>
        <v/>
      </c>
    </row>
    <row r="11" ht="15" customHeight="1" s="116">
      <c r="A11" s="94">
        <f>ROW()-1</f>
        <v/>
      </c>
      <c r="B11" s="94">
        <f>_xlfn.XLOOKUP($C11,舞种配比!$B$2:$B$91,舞种配比!$A$2:$A$91,"")</f>
        <v/>
      </c>
      <c r="C11" s="95" t="n"/>
      <c r="D11" s="94">
        <f>_xlfn.XLOOKUP($C11,舞种配比!$B$2:$B$91,舞种配比!$C$2:$C$91,"")</f>
        <v/>
      </c>
      <c r="E11" s="105">
        <f>IF(ROW()&lt;4, "OK", IF(AND(B12=B11, B11=B10), "〿相邻3次", "OK"))</f>
        <v/>
      </c>
      <c r="F11" s="96">
        <f t="array" ref="F11">IF(COUNTIF(C$2:C11,C11)&gt;1, ROW()-MAX(IF(C$1:C10=C11,ROW(C$1:C10)))-1, "首次")</f>
        <v/>
      </c>
      <c r="G11" s="96">
        <f>IF(ROW()&gt;2, IF(D11=D10, "⚠️同节奏", "OK"), "OK")</f>
        <v/>
      </c>
      <c r="H11" s="96">
        <f>IF(F11="首次","",IF(F11&lt;5,"⚠️间隔"&amp;F11&amp;"首","间隔"&amp;F11&amp;"首✓"))</f>
        <v/>
      </c>
      <c r="I11" s="96" t="n"/>
    </row>
    <row r="12" ht="15" customHeight="1" s="116">
      <c r="A12" s="94">
        <f>ROW()-1</f>
        <v/>
      </c>
      <c r="B12" s="94">
        <f>_xlfn.XLOOKUP($C12,舞种配比!$B$2:$B$91,舞种配比!$A$2:$A$91,"")</f>
        <v/>
      </c>
      <c r="C12" s="95" t="n"/>
      <c r="D12" s="94">
        <f>_xlfn.XLOOKUP($C12,舞种配比!$B$2:$B$91,舞种配比!$C$2:$C$91,"")</f>
        <v/>
      </c>
      <c r="E12" s="105">
        <f>IF(ROW()&lt;4, "OK", IF(AND(B13=B12, B12=B11), "〿相邻3次", "OK"))</f>
        <v/>
      </c>
      <c r="F12" s="96">
        <f t="array" ref="F12">IF(COUNTIF(C$2:C12,C12)&gt;1, ROW()-MAX(IF(C$1:C11=C12,ROW(C$1:C11)))-1, "首次")</f>
        <v/>
      </c>
      <c r="G12" s="96">
        <f>IF(ROW()&gt;2, IF(D12=D11, "⚠️同节奏", "OK"), "OK")</f>
        <v/>
      </c>
      <c r="H12" s="96">
        <f>IF(F12="首次","",IF(F12&lt;5,"⚠️间隔"&amp;F12&amp;"首","间隔"&amp;F12&amp;"首✓"))</f>
        <v/>
      </c>
      <c r="I12" s="96" t="n"/>
    </row>
    <row r="13" ht="15" customHeight="1" s="116">
      <c r="A13" s="94">
        <f>ROW()-1</f>
        <v/>
      </c>
      <c r="B13" s="94">
        <f>_xlfn.XLOOKUP($C13,舞种配比!$B$2:$B$91,舞种配比!$A$2:$A$91,"")</f>
        <v/>
      </c>
      <c r="C13" s="95" t="n"/>
      <c r="D13" s="94">
        <f>_xlfn.XLOOKUP($C13,舞种配比!$B$2:$B$91,舞种配比!$C$2:$C$91,"")</f>
        <v/>
      </c>
      <c r="E13" s="105">
        <f>IF(ROW()&lt;4, "OK", IF(AND(B14=B13, B13=B12), "〿相邻3次", "OK"))</f>
        <v/>
      </c>
      <c r="F13" s="96">
        <f t="array" ref="F13">IF(COUNTIF(C$2:C13,C13)&gt;1, ROW()-MAX(IF(C$1:C12=C13,ROW(C$1:C12)))-1, "首次")</f>
        <v/>
      </c>
      <c r="G13" s="96">
        <f>IF(ROW()&gt;2, IF(D13=D12, "⚠️同节奏", "OK"), "OK")</f>
        <v/>
      </c>
      <c r="H13" s="96">
        <f>IF(F13="首次","",IF(F13&lt;5,"⚠️间隔"&amp;F13&amp;"首","间隔"&amp;F13&amp;"首✓"))</f>
        <v/>
      </c>
      <c r="I13" s="96" t="n"/>
    </row>
    <row r="14" ht="15" customHeight="1" s="116">
      <c r="A14" s="94">
        <f>ROW()-1</f>
        <v/>
      </c>
      <c r="B14" s="94">
        <f>_xlfn.XLOOKUP($C14,舞种配比!$B$2:$B$91,舞种配比!$A$2:$A$91,"")</f>
        <v/>
      </c>
      <c r="C14" s="95" t="n"/>
      <c r="D14" s="94">
        <f>_xlfn.XLOOKUP($C14,舞种配比!$B$2:$B$91,舞种配比!$C$2:$C$91,"")</f>
        <v/>
      </c>
      <c r="E14" s="105">
        <f>IF(ROW()&lt;4, "OK", IF(AND(B15=B14, B14=B13), "〿相邻3次", "OK"))</f>
        <v/>
      </c>
      <c r="F14" s="96">
        <f t="array" ref="F14">IF(COUNTIF(C$2:C14,C14)&gt;1, ROW()-MAX(IF(C$1:C13=C14,ROW(C$1:C13)))-1, "首次")</f>
        <v/>
      </c>
      <c r="G14" s="96">
        <f>IF(ROW()&gt;2, IF(D14=D13, "⚠️同节奏", "OK"), "OK")</f>
        <v/>
      </c>
      <c r="H14" s="96">
        <f>IF(F14="首次","",IF(F14&lt;5,"⚠️间隔"&amp;F14&amp;"首","间隔"&amp;F14&amp;"首✓"))</f>
        <v/>
      </c>
      <c r="I14" s="96" t="n"/>
      <c r="K14" s="107" t="inlineStr">
        <is>
          <t>排布逻辑</t>
        </is>
      </c>
    </row>
    <row r="15" ht="15" customHeight="1" s="116">
      <c r="A15" s="94">
        <f>ROW()-1</f>
        <v/>
      </c>
      <c r="B15" s="94">
        <f>_xlfn.XLOOKUP($C15,舞种配比!$B$2:$B$91,舞种配比!$A$2:$A$91,"")</f>
        <v/>
      </c>
      <c r="C15" s="95" t="n"/>
      <c r="D15" s="94">
        <f>_xlfn.XLOOKUP($C15,舞种配比!$B$2:$B$91,舞种配比!$C$2:$C$91,"")</f>
        <v/>
      </c>
      <c r="E15" s="105">
        <f>IF(ROW()&lt;4, "OK", IF(AND(B16=B15, B15=B14), "〿相邻3次", "OK"))</f>
        <v/>
      </c>
      <c r="F15" s="96">
        <f t="array" ref="F15">IF(COUNTIF(C$2:C15,C15)&gt;1, ROW()-MAX(IF(C$1:C14=C15,ROW(C$1:C14)))-1, "首次")</f>
        <v/>
      </c>
      <c r="G15" s="96">
        <f>IF(ROW()&gt;2, IF(D15=D14, "⚠️同节奏", "OK"), "OK")</f>
        <v/>
      </c>
      <c r="H15" s="96">
        <f>IF(F15="首次","",IF(F15&lt;5,"⚠️间隔"&amp;F15&amp;"首","间隔"&amp;F15&amp;"首✓"))</f>
        <v/>
      </c>
      <c r="I15" s="96" t="n"/>
      <c r="K15" s="0" t="inlineStr">
        <is>
          <t>0.每首平均按三分钟计算，两个半小时限排50首。</t>
        </is>
      </c>
    </row>
    <row r="16" ht="15" customHeight="1" s="116">
      <c r="A16" s="94">
        <f>ROW()-1</f>
        <v/>
      </c>
      <c r="B16" s="94">
        <f>_xlfn.XLOOKUP($C16,舞种配比!$B$2:$B$91,舞种配比!$A$2:$A$91,"")</f>
        <v/>
      </c>
      <c r="C16" s="95" t="n"/>
      <c r="D16" s="94">
        <f>_xlfn.XLOOKUP($C16,舞种配比!$B$2:$B$91,舞种配比!$C$2:$C$91,"")</f>
        <v/>
      </c>
      <c r="E16" s="105">
        <f>IF(ROW()&lt;4, "OK", IF(AND(B17=B16, B16=B15), "〿相邻3次", "OK"))</f>
        <v/>
      </c>
      <c r="F16" s="96">
        <f t="array" ref="F16">IF(COUNTIF(C$2:C16,C16)&gt;1, ROW()-MAX(IF(C$1:C15=C16,ROW(C$1:C15)))-1, "首次")</f>
        <v/>
      </c>
      <c r="G16" s="96">
        <f>IF(ROW()&gt;2, IF(D16=D15, "⚠️同节奏", "OK"), "OK")</f>
        <v/>
      </c>
      <c r="H16" s="96">
        <f>IF(F16="首次","",IF(F16&lt;5,"⚠️间隔"&amp;F16&amp;"首","间隔"&amp;F16&amp;"首✓"))</f>
        <v/>
      </c>
      <c r="I16" s="96" t="n"/>
      <c r="K16" s="0" t="inlineStr">
        <is>
          <t>1. 首尾均为华尔兹。</t>
        </is>
      </c>
    </row>
    <row r="17" ht="15" customHeight="1" s="116">
      <c r="A17" s="94">
        <f>ROW()-1</f>
        <v/>
      </c>
      <c r="B17" s="94">
        <f>_xlfn.XLOOKUP($C17,舞种配比!$B$2:$B$91,舞种配比!$A$2:$A$91,"")</f>
        <v/>
      </c>
      <c r="C17" s="95" t="n"/>
      <c r="D17" s="94">
        <f>_xlfn.XLOOKUP($C17,舞种配比!$B$2:$B$91,舞种配比!$C$2:$C$91,"")</f>
        <v/>
      </c>
      <c r="E17" s="105">
        <f>IF(ROW()&lt;4, "OK", IF(AND(B18=B17, B17=B16), "〿相邻3次", "OK"))</f>
        <v/>
      </c>
      <c r="F17" s="96">
        <f t="array" ref="F17">IF(COUNTIF(C$2:C17,C17)&gt;1, ROW()-MAX(IF(C$1:C16=C17,ROW(C$1:C16)))-1, "首次")</f>
        <v/>
      </c>
      <c r="G17" s="96">
        <f>IF(ROW()&gt;2, IF(D17=D16, "⚠️同节奏", "OK"), "OK")</f>
        <v/>
      </c>
      <c r="H17" s="96">
        <f>IF(F17="首次","",IF(F17&lt;5,"⚠️间隔"&amp;F17&amp;"首","间隔"&amp;F17&amp;"首✓"))</f>
        <v/>
      </c>
      <c r="I17" s="96" t="n"/>
      <c r="K17" s="0" t="inlineStr">
        <is>
          <t>第一首和最后一首必须为摩登舞-华尔兹（慢）。</t>
        </is>
      </c>
    </row>
    <row r="18" ht="15" customHeight="1" s="116">
      <c r="A18" s="94">
        <f>ROW()-1</f>
        <v/>
      </c>
      <c r="B18" s="94">
        <f>_xlfn.XLOOKUP($C18,舞种配比!$B$2:$B$91,舞种配比!$A$2:$A$91,"")</f>
        <v/>
      </c>
      <c r="C18" s="95" t="n"/>
      <c r="D18" s="94">
        <f>_xlfn.XLOOKUP($C18,舞种配比!$B$2:$B$91,舞种配比!$C$2:$C$91,"")</f>
        <v/>
      </c>
      <c r="E18" s="105">
        <f>IF(ROW()&lt;4, "OK", IF(AND(B19=B18, B18=B17), "〿相邻3次", "OK"))</f>
        <v/>
      </c>
      <c r="F18" s="96">
        <f t="array" ref="F18">IF(COUNTIF(C$2:C18,C18)&gt;1, ROW()-MAX(IF(C$1:C17=C18,ROW(C$1:C17)))-1, "首次")</f>
        <v/>
      </c>
      <c r="G18" s="96">
        <f>IF(ROW()&gt;2, IF(D18=D17, "⚠️同节奏", "OK"), "OK")</f>
        <v/>
      </c>
      <c r="H18" s="96">
        <f>IF(F18="首次","",IF(F18&lt;5,"⚠️间隔"&amp;F18&amp;"首","间隔"&amp;F18&amp;"首✓"))</f>
        <v/>
      </c>
      <c r="I18" s="96" t="n"/>
      <c r="K18" s="0" t="inlineStr">
        <is>
          <t>2. 集体舞放在中段，且互相间隔足够。</t>
        </is>
      </c>
    </row>
    <row r="19" ht="15" customHeight="1" s="116">
      <c r="A19" s="94">
        <f>ROW()-1</f>
        <v/>
      </c>
      <c r="B19" s="94">
        <f>_xlfn.XLOOKUP($C19,舞种配比!$B$2:$B$91,舞种配比!$A$2:$A$91,"")</f>
        <v/>
      </c>
      <c r="C19" s="95" t="n"/>
      <c r="D19" s="94">
        <f>_xlfn.XLOOKUP($C19,舞种配比!$B$2:$B$91,舞种配比!$C$2:$C$91,"")</f>
        <v/>
      </c>
      <c r="E19" s="105">
        <f>IF(ROW()&lt;4, "OK", IF(AND(B20=B19, B19=B18), "〿相邻3次", "OK"))</f>
        <v/>
      </c>
      <c r="F19" s="96">
        <f t="array" ref="F19">IF(COUNTIF(C$2:C19,C19)&gt;1, ROW()-MAX(IF(C$1:C18=C19,ROW(C$1:C18)))-1, "首次")</f>
        <v/>
      </c>
      <c r="G19" s="96">
        <f>IF(ROW()&gt;2, IF(D19=D18, "⚠️同节奏", "OK"), "OK")</f>
        <v/>
      </c>
      <c r="H19" s="96">
        <f>IF(F19="首次","",IF(F19&lt;5,"⚠️间隔"&amp;F19&amp;"首","间隔"&amp;F19&amp;"首✓"))</f>
        <v/>
      </c>
      <c r="I19" s="96" t="n"/>
      <c r="K19" s="0" t="inlineStr">
        <is>
          <t>集体舞（三十二步、DJ）全部放在位置约16–30之间；两个集体舞之间至少隔开3首（位置差 ≥ 4）。</t>
        </is>
      </c>
    </row>
    <row r="20" ht="15" customHeight="1" s="116">
      <c r="A20" s="94">
        <f>ROW()-1</f>
        <v/>
      </c>
      <c r="B20" s="94">
        <f>_xlfn.XLOOKUP($C20,舞种配比!$B$2:$B$91,舞种配比!$A$2:$A$91,"")</f>
        <v/>
      </c>
      <c r="C20" s="95" t="n"/>
      <c r="D20" s="94">
        <f>_xlfn.XLOOKUP($C20,舞种配比!$B$2:$B$91,舞种配比!$C$2:$C$91,"")</f>
        <v/>
      </c>
      <c r="E20" s="105">
        <f>IF(ROW()&lt;4, "OK", IF(AND(B21=B20, B20=B19), "〿相邻3次", "OK"))</f>
        <v/>
      </c>
      <c r="F20" s="96">
        <f t="array" ref="F20">IF(COUNTIF(C$2:C20,C20)&gt;1, ROW()-MAX(IF(C$1:C19=C20,ROW(C$1:C19)))-1, "首次")</f>
        <v/>
      </c>
      <c r="G20" s="96">
        <f>IF(ROW()&gt;2, IF(D20=D19, "⚠️同节奏", "OK"), "OK")</f>
        <v/>
      </c>
      <c r="H20" s="96">
        <f>IF(F20="首次","",IF(F20&lt;5,"⚠️间隔"&amp;F20&amp;"首","间隔"&amp;F20&amp;"首✓"))</f>
        <v/>
      </c>
      <c r="I20" s="96" t="n"/>
      <c r="K20" s="0" t="inlineStr">
        <is>
          <t>3. 数量多的舞种优先分散，单首舞种最后均匀插入。</t>
        </is>
      </c>
    </row>
    <row r="21" ht="15" customHeight="1" s="116">
      <c r="A21" s="94">
        <f>ROW()-1</f>
        <v/>
      </c>
      <c r="B21" s="94">
        <f>_xlfn.XLOOKUP($C21,舞种配比!$B$2:$B$91,舞种配比!$A$2:$A$91,"")</f>
        <v/>
      </c>
      <c r="C21" s="95" t="n"/>
      <c r="D21" s="94">
        <f>_xlfn.XLOOKUP($C21,舞种配比!$B$2:$B$91,舞种配比!$C$2:$C$91,"")</f>
        <v/>
      </c>
      <c r="E21" s="105">
        <f>IF(ROW()&lt;4, "OK", IF(AND(B22=B21, B21=B20), "〿相邻3次", "OK"))</f>
        <v/>
      </c>
      <c r="F21" s="96">
        <f t="array" ref="F21">IF(COUNTIF(C$2:C21,C21)&gt;1, ROW()-MAX(IF(C$1:C20=C21,ROW(C$1:C20)))-1, "首次")</f>
        <v/>
      </c>
      <c r="G21" s="96">
        <f>IF(ROW()&gt;2, IF(D21=D20, "⚠️同节奏", "OK"), "OK")</f>
        <v/>
      </c>
      <c r="H21" s="96">
        <f>IF(F21="首次","",IF(F21&lt;5,"⚠️间隔"&amp;F21&amp;"首","间隔"&amp;F21&amp;"首✓"))</f>
        <v/>
      </c>
      <c r="I21" s="96" t="n"/>
      <c r="K21" s="0" t="inlineStr">
        <is>
          <t>除集体舞外，数量多的舞种（如华尔兹、伦巴、慢四等）优先均匀分散在整单中；数量为1的舞种（如探戈）最后插入到剩余空位中，尽量均匀。</t>
        </is>
      </c>
    </row>
    <row r="22" ht="15" customHeight="1" s="116">
      <c r="A22" s="94">
        <f>ROW()-1</f>
        <v/>
      </c>
      <c r="B22" s="94">
        <f>_xlfn.XLOOKUP($C22,舞种配比!$B$2:$B$91,舞种配比!$A$2:$A$91,"")</f>
        <v/>
      </c>
      <c r="C22" s="95" t="n"/>
      <c r="D22" s="94">
        <f>_xlfn.XLOOKUP($C22,舞种配比!$B$2:$B$91,舞种配比!$C$2:$C$91,"")</f>
        <v/>
      </c>
      <c r="E22" s="105">
        <f>IF(ROW()&lt;4, "OK", IF(AND(B23=B22, B22=B21), "〿相邻3次", "OK"))</f>
        <v/>
      </c>
      <c r="F22" s="96">
        <f t="array" ref="F22">IF(COUNTIF(C$2:C22,C22)&gt;1, ROW()-MAX(IF(C$1:C21=C22,ROW(C$1:C21)))-1, "首次")</f>
        <v/>
      </c>
      <c r="G22" s="96">
        <f>IF(ROW()&gt;2, IF(D22=D21, "⚠️同节奏", "OK"), "OK")</f>
        <v/>
      </c>
      <c r="H22" s="96">
        <f>IF(F22="首次","",IF(F22&lt;5,"⚠️间隔"&amp;F22&amp;"首","间隔"&amp;F22&amp;"首✓"))</f>
        <v/>
      </c>
      <c r="I22" s="96" t="n"/>
      <c r="K22" s="0" t="inlineStr">
        <is>
          <t>4. 大类不连续三次。</t>
        </is>
      </c>
    </row>
    <row r="23" ht="15" customHeight="1" s="116">
      <c r="A23" s="94">
        <f>ROW()-1</f>
        <v/>
      </c>
      <c r="B23" s="94">
        <f>_xlfn.XLOOKUP($C23,舞种配比!$B$2:$B$91,舞种配比!$A$2:$A$91,"")</f>
        <v/>
      </c>
      <c r="C23" s="95" t="n"/>
      <c r="D23" s="94">
        <f>_xlfn.XLOOKUP($C23,舞种配比!$B$2:$B$91,舞种配比!$C$2:$C$91,"")</f>
        <v/>
      </c>
      <c r="E23" s="105">
        <f>IF(ROW()&lt;4, "OK", IF(AND(B24=B23, B23=B22), "〿相邻3次", "OK"))</f>
        <v/>
      </c>
      <c r="F23" s="96">
        <f t="array" ref="F23">IF(COUNTIF(C$2:C23,C23)&gt;1, ROW()-MAX(IF(C$1:C22=C23,ROW(C$1:C22)))-1, "首次")</f>
        <v/>
      </c>
      <c r="G23" s="96">
        <f>IF(ROW()&gt;2, IF(D23=D22, "⚠️同节奏", "OK"), "OK")</f>
        <v/>
      </c>
      <c r="H23" s="96">
        <f>IF(F23="首次","",IF(F23&lt;5,"⚠️间隔"&amp;F23&amp;"首","间隔"&amp;F23&amp;"首✓"))</f>
        <v/>
      </c>
      <c r="I23" s="96" t="n"/>
      <c r="K23" s="0" t="inlineStr">
        <is>
          <t>任意连续3首的“大类”不能完全相同（即不能出现连续3首摩登舞、或连续3首拉丁舞等）。</t>
        </is>
      </c>
    </row>
    <row r="24" ht="15" customHeight="1" s="116">
      <c r="A24" s="94">
        <f>ROW()-1</f>
        <v/>
      </c>
      <c r="B24" s="94">
        <f>_xlfn.XLOOKUP($C24,舞种配比!$B$2:$B$91,舞种配比!$A$2:$A$91,"")</f>
        <v/>
      </c>
      <c r="C24" s="95" t="n"/>
      <c r="D24" s="94">
        <f>_xlfn.XLOOKUP($C24,舞种配比!$B$2:$B$91,舞种配比!$C$2:$C$91,"")</f>
        <v/>
      </c>
      <c r="E24" s="105">
        <f>IF(ROW()&lt;4, "OK", IF(AND(B25=B24, B24=B23), "〿相邻3次", "OK"))</f>
        <v/>
      </c>
      <c r="F24" s="96">
        <f t="array" ref="F24">IF(COUNTIF(C$2:C24,C24)&gt;1, ROW()-MAX(IF(C$1:C23=C24,ROW(C$1:C23)))-1, "首次")</f>
        <v/>
      </c>
      <c r="G24" s="96">
        <f>IF(ROW()&gt;2, IF(D24=D23, "⚠️同节奏", "OK"), "OK")</f>
        <v/>
      </c>
      <c r="H24" s="96">
        <f>IF(F24="首次","",IF(F24&lt;5,"⚠️间隔"&amp;F24&amp;"首","间隔"&amp;F24&amp;"首✓"))</f>
        <v/>
      </c>
      <c r="I24" s="96" t="n"/>
      <c r="K24" s="0" t="inlineStr">
        <is>
          <t>5. 同舞种间隔 ≥ 6 个位置（即至少隔开5首）。</t>
        </is>
      </c>
    </row>
    <row r="25" ht="15" customHeight="1" s="116">
      <c r="A25" s="94">
        <f>ROW()-1</f>
        <v/>
      </c>
      <c r="B25" s="94">
        <f>_xlfn.XLOOKUP($C25,舞种配比!$B$2:$B$91,舞种配比!$A$2:$A$91,"")</f>
        <v/>
      </c>
      <c r="C25" s="95" t="n"/>
      <c r="D25" s="94">
        <f>_xlfn.XLOOKUP($C25,舞种配比!$B$2:$B$91,舞种配比!$C$2:$C$91,"")</f>
        <v/>
      </c>
      <c r="E25" s="105">
        <f>IF(ROW()&lt;4, "OK", IF(AND(B26=B25, B25=B24), "〿相邻3次", "OK"))</f>
        <v/>
      </c>
      <c r="F25" s="96">
        <f t="array" ref="F25">IF(COUNTIF(C$2:C25,C25)&gt;1, ROW()-MAX(IF(C$1:C24=C25,ROW(C$1:C24)))-1, "首次")</f>
        <v/>
      </c>
      <c r="G25" s="96">
        <f>IF(ROW()&gt;2, IF(D25=D24, "⚠️同节奏", "OK"), "OK")</f>
        <v/>
      </c>
      <c r="H25" s="96">
        <f>IF(F25="首次","",IF(F25&lt;5,"⚠️间隔"&amp;F25&amp;"首","间隔"&amp;F25&amp;"首✓"))</f>
        <v/>
      </c>
      <c r="I25" s="96" t="n"/>
      <c r="K25" s="0" t="inlineStr">
        <is>
          <t>同一个舞种（如华尔兹）任意两次出现的位置差必须 ≥ 6。</t>
        </is>
      </c>
    </row>
    <row r="26" ht="15" customHeight="1" s="116">
      <c r="A26" s="94">
        <f>ROW()-1</f>
        <v/>
      </c>
      <c r="B26" s="94">
        <f>_xlfn.XLOOKUP($C26,舞种配比!$B$2:$B$91,舞种配比!$A$2:$A$91,"")</f>
        <v/>
      </c>
      <c r="C26" s="95" t="n"/>
      <c r="D26" s="94">
        <f>_xlfn.XLOOKUP($C26,舞种配比!$B$2:$B$91,舞种配比!$C$2:$C$91,"")</f>
        <v/>
      </c>
      <c r="E26" s="105">
        <f>IF(ROW()&lt;4, "OK", IF(AND(B27=B26, B26=B25), "〿相邻3次", "OK"))</f>
        <v/>
      </c>
      <c r="F26" s="96">
        <f t="array" ref="F26">IF(COUNTIF(C$2:C26,C26)&gt;1, ROW()-MAX(IF(C$1:C25=C26,ROW(C$1:C25)))-1, "首次")</f>
        <v/>
      </c>
      <c r="G26" s="96">
        <f>IF(ROW()&gt;2, IF(D26=D25, "⚠️同节奏", "OK"), "OK")</f>
        <v/>
      </c>
      <c r="H26" s="96">
        <f>IF(F26="首次","",IF(F26&lt;5,"⚠️间隔"&amp;F26&amp;"首","间隔"&amp;F26&amp;"首✓"))</f>
        <v/>
      </c>
      <c r="I26" s="96" t="n"/>
      <c r="K26" s="0" t="inlineStr">
        <is>
          <t>6. 节奏以慢快交替为主，中速均匀穿插在快慢之间。</t>
        </is>
      </c>
    </row>
    <row r="27" ht="15" customHeight="1" s="116">
      <c r="A27" s="94">
        <f>ROW()-1</f>
        <v/>
      </c>
      <c r="B27" s="94">
        <f>_xlfn.XLOOKUP($C27,舞种配比!$B$2:$B$91,舞种配比!$A$2:$A$91,"")</f>
        <v/>
      </c>
      <c r="C27" s="95" t="n"/>
      <c r="D27" s="94">
        <f>_xlfn.XLOOKUP($C27,舞种配比!$B$2:$B$91,舞种配比!$C$2:$C$91,"")</f>
        <v/>
      </c>
      <c r="E27" s="105">
        <f>IF(ROW()&lt;4, "OK", IF(AND(B28=B27, B27=B26), "〿相邻3次", "OK"))</f>
        <v/>
      </c>
      <c r="F27" s="96">
        <f t="array" ref="F27">IF(COUNTIF(C$2:C27,C27)&gt;1, ROW()-MAX(IF(C$1:C26=C27,ROW(C$1:C26)))-1, "首次")</f>
        <v/>
      </c>
      <c r="G27" s="96">
        <f>IF(ROW()&gt;2, IF(D27=D26, "⚠️同节奏", "OK"), "OK")</f>
        <v/>
      </c>
      <c r="H27" s="96">
        <f>IF(F27="首次","",IF(F27&lt;5,"⚠️间隔"&amp;F27&amp;"首","间隔"&amp;F27&amp;"首✓"))</f>
        <v/>
      </c>
      <c r="I27" s="96" t="n"/>
      <c r="K27" s="0" t="inlineStr">
        <is>
          <t>此处“节奏”指慢、快、中三种速度。具体要求如下：</t>
        </is>
      </c>
    </row>
    <row r="28" ht="15" customHeight="1" s="116">
      <c r="A28" s="94">
        <f>ROW()-1</f>
        <v/>
      </c>
      <c r="B28" s="94">
        <f>_xlfn.XLOOKUP($C28,舞种配比!$B$2:$B$91,舞种配比!$A$2:$A$91,"")</f>
        <v/>
      </c>
      <c r="C28" s="95" t="n"/>
      <c r="D28" s="94">
        <f>_xlfn.XLOOKUP($C28,舞种配比!$B$2:$B$91,舞种配比!$C$2:$C$91,"")</f>
        <v/>
      </c>
      <c r="E28" s="105">
        <f>IF(ROW()&lt;4, "OK", IF(AND(B29=B28, B28=B27), "〿相邻3次", "OK"))</f>
        <v/>
      </c>
      <c r="F28" s="96">
        <f t="array" ref="F28">IF(COUNTIF(C$2:C28,C28)&gt;1, ROW()-MAX(IF(C$1:C27=C28,ROW(C$1:C27)))-1, "首次")</f>
        <v/>
      </c>
      <c r="G28" s="96">
        <f>IF(ROW()&gt;2, IF(D28=D27, "⚠️同节奏", "OK"), "OK")</f>
        <v/>
      </c>
      <c r="H28" s="96">
        <f>IF(F28="首次","",IF(F28&lt;5,"⚠️间隔"&amp;F28&amp;"首","间隔"&amp;F28&amp;"首✓"))</f>
        <v/>
      </c>
      <c r="I28" s="96" t="n"/>
      <c r="K28" s="0" t="inlineStr">
        <is>
          <t>中速是万能缓冲，可以当作“慢”来用，也可以当作“快”来配合交替；</t>
        </is>
      </c>
    </row>
    <row r="29" ht="15" customHeight="1" s="116">
      <c r="A29" s="94">
        <f>ROW()-1</f>
        <v/>
      </c>
      <c r="B29" s="94">
        <f>_xlfn.XLOOKUP($C29,舞种配比!$B$2:$B$91,舞种配比!$A$2:$A$91,"")</f>
        <v/>
      </c>
      <c r="C29" s="95" t="n"/>
      <c r="D29" s="94">
        <f>_xlfn.XLOOKUP($C29,舞种配比!$B$2:$B$91,舞种配比!$C$2:$C$91,"")</f>
        <v/>
      </c>
      <c r="E29" s="105">
        <f>IF(ROW()&lt;4, "OK", IF(AND(B30=B29, B29=B28), "〿相邻3次", "OK"))</f>
        <v/>
      </c>
      <c r="F29" s="96">
        <f t="array" ref="F29">IF(COUNTIF(C$2:C29,C29)&gt;1, ROW()-MAX(IF(C$1:C28=C29,ROW(C$1:C28)))-1, "首次")</f>
        <v/>
      </c>
      <c r="G29" s="96">
        <f>IF(ROW()&gt;2, IF(D29=D28, "⚠️同节奏", "OK"), "OK")</f>
        <v/>
      </c>
      <c r="H29" s="96">
        <f>IF(F29="首次","",IF(F29&lt;5,"⚠️间隔"&amp;F29&amp;"首","间隔"&amp;F29&amp;"首✓"))</f>
        <v/>
      </c>
      <c r="I29" s="96" t="n"/>
      <c r="K29" s="0" t="inlineStr">
        <is>
          <t>整体节奏结构类似于：快-中-慢-快-中-慢…… 或 慢-中-快-慢-中-快……，即快与慢尽量交替，中速作为过渡穿插其间；</t>
        </is>
      </c>
    </row>
    <row r="30" ht="15" customHeight="1" s="116">
      <c r="A30" s="94">
        <f>ROW()-1</f>
        <v/>
      </c>
      <c r="B30" s="94">
        <f>_xlfn.XLOOKUP($C30,舞种配比!$B$2:$B$91,舞种配比!$A$2:$A$91,"")</f>
        <v/>
      </c>
      <c r="C30" s="95" t="n"/>
      <c r="D30" s="94">
        <f>_xlfn.XLOOKUP($C30,舞种配比!$B$2:$B$91,舞种配比!$C$2:$C$91,"")</f>
        <v/>
      </c>
      <c r="E30" s="105">
        <f>IF(ROW()&lt;4, "OK", IF(AND(B31=B30, B30=B29), "〿相邻3次", "OK"))</f>
        <v/>
      </c>
      <c r="F30" s="96">
        <f t="array" ref="F30">IF(COUNTIF(C$2:C30,C30)&gt;1, ROW()-MAX(IF(C$1:C29=C30,ROW(C$1:C29)))-1, "首次")</f>
        <v/>
      </c>
      <c r="G30" s="96">
        <f>IF(ROW()&gt;2, IF(D30=D29, "⚠️同节奏", "OK"), "OK")</f>
        <v/>
      </c>
      <c r="H30" s="96">
        <f>IF(F30="首次","",IF(F30&lt;5,"⚠️间隔"&amp;F30&amp;"首","间隔"&amp;F30&amp;"首✓"))</f>
        <v/>
      </c>
      <c r="I30" s="96" t="n"/>
      <c r="K30" s="0" t="inlineStr">
        <is>
          <t>中速允许连续出现，但不超过连续2次（即不能出现"中-中-中"三连）；</t>
        </is>
      </c>
    </row>
    <row r="31" ht="15" customHeight="1" s="116">
      <c r="A31" s="94">
        <f>ROW()-1</f>
        <v/>
      </c>
      <c r="B31" s="94">
        <f>_xlfn.XLOOKUP($C31,舞种配比!$B$2:$B$91,舞种配比!$A$2:$A$91,"")</f>
        <v/>
      </c>
      <c r="C31" s="95" t="n"/>
      <c r="D31" s="94">
        <f>_xlfn.XLOOKUP($C31,舞种配比!$B$2:$B$91,舞种配比!$C$2:$C$91,"")</f>
        <v/>
      </c>
      <c r="E31" s="105">
        <f>IF(ROW()&lt;4, "OK", IF(AND(B32=B31, B31=B30), "〿相邻3次", "OK"))</f>
        <v/>
      </c>
      <c r="F31" s="96">
        <f t="array" ref="F31">IF(COUNTIF(C$2:C31,C31)&gt;1, ROW()-MAX(IF(C$1:C30=C31,ROW(C$1:C30)))-1, "首次")</f>
        <v/>
      </c>
      <c r="G31" s="96">
        <f>IF(ROW()&gt;2, IF(D31=D30, "⚠️同节奏", "OK"), "OK")</f>
        <v/>
      </c>
      <c r="H31" s="96">
        <f>IF(F31="首次","",IF(F31&lt;5,"⚠️间隔"&amp;F31&amp;"首","间隔"&amp;F31&amp;"首✓"))</f>
        <v/>
      </c>
      <c r="I31" s="96" t="n"/>
      <c r="K31" s="0" t="inlineStr">
        <is>
          <t>当“快”的数量明显多于“慢”时，允许出现少量连续的“快-快”；当“慢”的数量明显多于“快”时，允许出现少量连续的“慢-慢”。其余情况下尽量保持快慢交替。</t>
        </is>
      </c>
    </row>
    <row r="32" ht="15" customHeight="1" s="116">
      <c r="A32" s="94">
        <f>ROW()-1</f>
        <v/>
      </c>
      <c r="B32" s="94">
        <f>_xlfn.XLOOKUP($C32,舞种配比!$B$2:$B$91,舞种配比!$A$2:$A$91,"")</f>
        <v/>
      </c>
      <c r="C32" s="95" t="n"/>
      <c r="D32" s="94">
        <f>_xlfn.XLOOKUP($C32,舞种配比!$B$2:$B$91,舞种配比!$C$2:$C$91,"")</f>
        <v/>
      </c>
      <c r="E32" s="105">
        <f>IF(ROW()&lt;4, "OK", IF(AND(B33=B32, B32=B31), "〿相邻3次", "OK"))</f>
        <v/>
      </c>
      <c r="F32" s="96">
        <f t="array" ref="F32">IF(COUNTIF(C$2:C32,C32)&gt;1, ROW()-MAX(IF(C$1:C31=C32,ROW(C$1:C31)))-1, "首次")</f>
        <v/>
      </c>
      <c r="G32" s="96">
        <f>IF(ROW()&gt;2, IF(D32=D31, "⚠️同节奏", "OK"), "OK")</f>
        <v/>
      </c>
      <c r="H32" s="96">
        <f>IF(F32="首次","",IF(F32&lt;5,"⚠️间隔"&amp;F32&amp;"首","间隔"&amp;F32&amp;"首✓"))</f>
        <v/>
      </c>
      <c r="I32" s="96" t="n"/>
      <c r="K32" s="0" t="inlineStr">
        <is>
          <t>7. 大类均匀分布。</t>
        </is>
      </c>
    </row>
    <row r="33" ht="15" customHeight="1" s="116">
      <c r="A33" s="94">
        <f>ROW()-1</f>
        <v/>
      </c>
      <c r="B33" s="94">
        <f>_xlfn.XLOOKUP($C33,舞种配比!$B$2:$B$91,舞种配比!$A$2:$A$91,"")</f>
        <v/>
      </c>
      <c r="C33" s="95" t="n"/>
      <c r="D33" s="94">
        <f>_xlfn.XLOOKUP($C33,舞种配比!$B$2:$B$91,舞种配比!$C$2:$C$91,"")</f>
        <v/>
      </c>
      <c r="E33" s="105">
        <f>IF(ROW()&lt;4, "OK", IF(AND(B34=B33, B33=B32), "〿相邻3次", "OK"))</f>
        <v/>
      </c>
      <c r="F33" s="96">
        <f t="array" ref="F33">IF(COUNTIF(C$2:C33,C33)&gt;1, ROW()-MAX(IF(C$1:C32=C33,ROW(C$1:C32)))-1, "首次")</f>
        <v/>
      </c>
      <c r="G33" s="96">
        <f>IF(ROW()&gt;2, IF(D33=D32, "⚠️同节奏", "OK"), "OK")</f>
        <v/>
      </c>
      <c r="H33" s="96">
        <f>IF(F33="首次","",IF(F33&lt;5,"⚠️间隔"&amp;F33&amp;"首","间隔"&amp;F33&amp;"首✓"))</f>
        <v/>
      </c>
      <c r="I33" s="96" t="n"/>
      <c r="K33" s="0" t="inlineStr">
        <is>
          <t>除开集体舞外，将每个大类（摩登舞、拉丁舞、地方舞、交谊舞）在整单的前段、中段、后段各出现约1/3次数。</t>
        </is>
      </c>
    </row>
    <row r="34" ht="15" customHeight="1" s="116">
      <c r="A34" s="94">
        <f>ROW()-1</f>
        <v/>
      </c>
      <c r="B34" s="94">
        <f>_xlfn.XLOOKUP($C34,舞种配比!$B$2:$B$91,舞种配比!$A$2:$A$91,"")</f>
        <v/>
      </c>
      <c r="C34" s="95" t="n"/>
      <c r="D34" s="94">
        <f>_xlfn.XLOOKUP($C34,舞种配比!$B$2:$B$91,舞种配比!$C$2:$C$91,"")</f>
        <v/>
      </c>
      <c r="E34" s="105">
        <f>IF(ROW()&lt;4, "OK", IF(AND(B35=B34, B34=B33), "〿相邻3次", "OK"))</f>
        <v/>
      </c>
      <c r="F34" s="96">
        <f t="array" ref="F34">IF(COUNTIF(C$2:C34,C34)&gt;1, ROW()-MAX(IF(C$1:C33=C34,ROW(C$1:C33)))-1, "首次")</f>
        <v/>
      </c>
      <c r="G34" s="96">
        <f>IF(ROW()&gt;2, IF(D34=D33, "⚠️同节奏", "OK"), "OK")</f>
        <v/>
      </c>
      <c r="H34" s="96">
        <f>IF(F34="首次","",IF(F34&lt;5,"⚠️间隔"&amp;F34&amp;"首","间隔"&amp;F34&amp;"首✓"))</f>
        <v/>
      </c>
      <c r="I34" s="96" t="n"/>
      <c r="K34" s="0" t="inlineStr">
        <is>
          <t>8. 舞种排列要杂乱无规律。</t>
        </is>
      </c>
    </row>
    <row r="35" ht="15" customHeight="1" s="116">
      <c r="A35" s="94">
        <f>ROW()-1</f>
        <v/>
      </c>
      <c r="B35" s="94">
        <f>_xlfn.XLOOKUP($C35,舞种配比!$B$2:$B$91,舞种配比!$A$2:$A$91,"")</f>
        <v/>
      </c>
      <c r="C35" s="95" t="n"/>
      <c r="D35" s="94">
        <f>_xlfn.XLOOKUP($C35,舞种配比!$B$2:$B$91,舞种配比!$C$2:$C$91,"")</f>
        <v/>
      </c>
      <c r="E35" s="105">
        <f>IF(ROW()&lt;4, "OK", IF(AND(B36=B35, B35=B34), "〿相邻3次", "OK"))</f>
        <v/>
      </c>
      <c r="F35" s="96">
        <f t="array" ref="F35">IF(COUNTIF(C$2:C35,C35)&gt;1, ROW()-MAX(IF(C$1:C34=C35,ROW(C$1:C34)))-1, "首次")</f>
        <v/>
      </c>
      <c r="G35" s="96">
        <f>IF(ROW()&gt;2, IF(D35=D34, "⚠️同节奏", "OK"), "OK")</f>
        <v/>
      </c>
      <c r="H35" s="96">
        <f>IF(F35="首次","",IF(F35&lt;5,"⚠️间隔"&amp;F35&amp;"首","间隔"&amp;F35&amp;"首✓"))</f>
        <v/>
      </c>
      <c r="I35" s="96" t="n"/>
      <c r="K35" s="0" t="inlineStr">
        <is>
          <t>整单舞种顺序没有可识别的固定周期或规律性，给人随机、自然的感觉。</t>
        </is>
      </c>
    </row>
    <row r="36" ht="15" customHeight="1" s="116">
      <c r="A36" s="94">
        <f>ROW()-1</f>
        <v/>
      </c>
      <c r="B36" s="94">
        <f>_xlfn.XLOOKUP($C36,舞种配比!$B$2:$B$91,舞种配比!$A$2:$A$91,"")</f>
        <v/>
      </c>
      <c r="C36" s="95" t="n"/>
      <c r="D36" s="94">
        <f>_xlfn.XLOOKUP($C36,舞种配比!$B$2:$B$91,舞种配比!$C$2:$C$91,"")</f>
        <v/>
      </c>
      <c r="E36" s="105">
        <f>IF(ROW()&lt;4, "OK", IF(AND(B37=B36, B36=B35), "〿相邻3次", "OK"))</f>
        <v/>
      </c>
      <c r="F36" s="96">
        <f t="array" ref="F36">IF(COUNTIF(C$2:C36,C36)&gt;1, ROW()-MAX(IF(C$1:C35=C36,ROW(C$1:C35)))-1, "首次")</f>
        <v/>
      </c>
      <c r="G36" s="96">
        <f>IF(ROW()&gt;2, IF(D36=D35, "⚠️同节奏", "OK"), "OK")</f>
        <v/>
      </c>
      <c r="H36" s="96">
        <f>IF(F36="首次","",IF(F36&lt;5,"⚠️间隔"&amp;F36&amp;"首","间隔"&amp;F36&amp;"首✓"))</f>
        <v/>
      </c>
      <c r="I36" s="96" t="n"/>
    </row>
    <row r="37" ht="15" customHeight="1" s="116">
      <c r="A37" s="94">
        <f>ROW()-1</f>
        <v/>
      </c>
      <c r="B37" s="94">
        <f>_xlfn.XLOOKUP($C37,舞种配比!$B$2:$B$91,舞种配比!$A$2:$A$91,"")</f>
        <v/>
      </c>
      <c r="C37" s="95" t="n"/>
      <c r="D37" s="94">
        <f>_xlfn.XLOOKUP($C37,舞种配比!$B$2:$B$91,舞种配比!$C$2:$C$91,"")</f>
        <v/>
      </c>
      <c r="E37" s="105">
        <f>IF(ROW()&lt;4, "OK", IF(AND(B38=B37, B37=B36), "〿相邻3次", "OK"))</f>
        <v/>
      </c>
      <c r="F37" s="96">
        <f t="array" ref="F37">IF(COUNTIF(C$2:C37,C37)&gt;1, ROW()-MAX(IF(C$1:C36=C37,ROW(C$1:C36)))-1, "首次")</f>
        <v/>
      </c>
      <c r="G37" s="96">
        <f>IF(ROW()&gt;2, IF(D37=D36, "⚠️同节奏", "OK"), "OK")</f>
        <v/>
      </c>
      <c r="H37" s="96">
        <f>IF(F37="首次","",IF(F37&lt;5,"⚠️间隔"&amp;F37&amp;"首","间隔"&amp;F37&amp;"首✓"))</f>
        <v/>
      </c>
      <c r="I37" s="96" t="n"/>
    </row>
    <row r="38" ht="15" customHeight="1" s="116">
      <c r="A38" s="94">
        <f>ROW()-1</f>
        <v/>
      </c>
      <c r="B38" s="94">
        <f>_xlfn.XLOOKUP($C38,舞种配比!$B$2:$B$91,舞种配比!$A$2:$A$91,"")</f>
        <v/>
      </c>
      <c r="C38" s="95" t="n"/>
      <c r="D38" s="94">
        <f>_xlfn.XLOOKUP($C38,舞种配比!$B$2:$B$91,舞种配比!$C$2:$C$91,"")</f>
        <v/>
      </c>
      <c r="E38" s="105">
        <f>IF(ROW()&lt;4, "OK", IF(AND(B39=B38, B38=B37), "〿相邻3次", "OK"))</f>
        <v/>
      </c>
      <c r="F38" s="96">
        <f t="array" ref="F38">IF(COUNTIF(C$2:C38,C38)&gt;1, ROW()-MAX(IF(C$1:C37=C38,ROW(C$1:C37)))-1, "首次")</f>
        <v/>
      </c>
      <c r="G38" s="96">
        <f>IF(ROW()&gt;2, IF(D38=D37, "⚠️同节奏", "OK"), "OK")</f>
        <v/>
      </c>
      <c r="H38" s="96">
        <f>IF(F38="首次","",IF(F38&lt;5,"⚠️间隔"&amp;F38&amp;"首","间隔"&amp;F38&amp;"首✓"))</f>
        <v/>
      </c>
      <c r="I38" s="96" t="n"/>
    </row>
    <row r="39" ht="15" customHeight="1" s="116">
      <c r="A39" s="94">
        <f>ROW()-1</f>
        <v/>
      </c>
      <c r="B39" s="94">
        <f>_xlfn.XLOOKUP($C39,舞种配比!$B$2:$B$91,舞种配比!$A$2:$A$91,"")</f>
        <v/>
      </c>
      <c r="C39" s="95" t="n"/>
      <c r="D39" s="94">
        <f>_xlfn.XLOOKUP($C39,舞种配比!$B$2:$B$91,舞种配比!$C$2:$C$91,"")</f>
        <v/>
      </c>
      <c r="E39" s="105">
        <f>IF(ROW()&lt;4, "OK", IF(AND(B40=B39, B39=B38), "〿相邻3次", "OK"))</f>
        <v/>
      </c>
      <c r="F39" s="96">
        <f t="array" ref="F39">IF(COUNTIF(C$2:C39,C39)&gt;1, ROW()-MAX(IF(C$1:C38=C39,ROW(C$1:C38)))-1, "首次")</f>
        <v/>
      </c>
      <c r="G39" s="96">
        <f>IF(ROW()&gt;2, IF(D39=D38, "⚠️同节奏", "OK"), "OK")</f>
        <v/>
      </c>
      <c r="H39" s="96">
        <f>IF(F39="首次","",IF(F39&lt;5,"⚠️间隔"&amp;F39&amp;"首","间隔"&amp;F39&amp;"首✓"))</f>
        <v/>
      </c>
      <c r="I39" s="96" t="n"/>
    </row>
    <row r="40" ht="15" customHeight="1" s="116">
      <c r="A40" s="94">
        <f>ROW()-1</f>
        <v/>
      </c>
      <c r="B40" s="94">
        <f>_xlfn.XLOOKUP($C40,舞种配比!$B$2:$B$91,舞种配比!$A$2:$A$91,"")</f>
        <v/>
      </c>
      <c r="C40" s="95" t="n"/>
      <c r="D40" s="94">
        <f>_xlfn.XLOOKUP($C40,舞种配比!$B$2:$B$91,舞种配比!$C$2:$C$91,"")</f>
        <v/>
      </c>
      <c r="E40" s="105">
        <f>IF(ROW()&lt;4, "OK", IF(AND(B41=B40, B40=B39), "〿相邻3次", "OK"))</f>
        <v/>
      </c>
      <c r="F40" s="96">
        <f t="array" ref="F40">IF(COUNTIF(C$2:C40,C40)&gt;1, ROW()-MAX(IF(C$1:C39=C40,ROW(C$1:C39)))-1, "首次")</f>
        <v/>
      </c>
      <c r="G40" s="96">
        <f>IF(ROW()&gt;2, IF(D40=D39, "⚠️同节奏", "OK"), "OK")</f>
        <v/>
      </c>
      <c r="H40" s="96">
        <f>IF(F40="首次","",IF(F40&lt;5,"⚠️间隔"&amp;F40&amp;"首","间隔"&amp;F40&amp;"首✓"))</f>
        <v/>
      </c>
      <c r="I40" s="96" t="n"/>
    </row>
    <row r="41" ht="15" customHeight="1" s="116">
      <c r="A41" s="94">
        <f>ROW()-1</f>
        <v/>
      </c>
      <c r="B41" s="94">
        <f>_xlfn.XLOOKUP($C41,舞种配比!$B$2:$B$91,舞种配比!$A$2:$A$91,"")</f>
        <v/>
      </c>
      <c r="C41" s="95" t="n"/>
      <c r="D41" s="94">
        <f>_xlfn.XLOOKUP($C41,舞种配比!$B$2:$B$91,舞种配比!$C$2:$C$91,"")</f>
        <v/>
      </c>
      <c r="E41" s="105">
        <f>IF(ROW()&lt;4, "OK", IF(AND(B42=B41, B41=B40), "〿相邻3次", "OK"))</f>
        <v/>
      </c>
      <c r="F41" s="96">
        <f t="array" ref="F41">IF(COUNTIF(C$2:C41,C41)&gt;1, ROW()-MAX(IF(C$1:C40=C41,ROW(C$1:C40)))-1, "首次")</f>
        <v/>
      </c>
      <c r="G41" s="96">
        <f>IF(ROW()&gt;2, IF(D41=D40, "⚠️同节奏", "OK"), "OK")</f>
        <v/>
      </c>
      <c r="H41" s="96">
        <f>IF(F41="首次","",IF(F41&lt;5,"⚠️间隔"&amp;F41&amp;"首","间隔"&amp;F41&amp;"首✓"))</f>
        <v/>
      </c>
      <c r="I41" s="96" t="n"/>
    </row>
    <row r="42" ht="15" customHeight="1" s="116">
      <c r="A42" s="94">
        <f>ROW()-1</f>
        <v/>
      </c>
      <c r="B42" s="94">
        <f>_xlfn.XLOOKUP($C42,舞种配比!$B$2:$B$91,舞种配比!$A$2:$A$91,"")</f>
        <v/>
      </c>
      <c r="C42" s="95" t="n"/>
      <c r="D42" s="94">
        <f>_xlfn.XLOOKUP($C42,舞种配比!$B$2:$B$91,舞种配比!$C$2:$C$91,"")</f>
        <v/>
      </c>
      <c r="E42" s="105">
        <f>IF(ROW()&lt;4, "OK", IF(AND(B43=B42, B42=B41), "〿相邻3次", "OK"))</f>
        <v/>
      </c>
      <c r="F42" s="96">
        <f t="array" ref="F42">IF(COUNTIF(C$2:C42,C42)&gt;1, ROW()-MAX(IF(C$1:C41=C42,ROW(C$1:C41)))-1, "首次")</f>
        <v/>
      </c>
      <c r="G42" s="96">
        <f>IF(ROW()&gt;2, IF(D42=D41, "⚠️同节奏", "OK"), "OK")</f>
        <v/>
      </c>
      <c r="H42" s="96">
        <f>IF(F42="首次","",IF(F42&lt;5,"⚠️间隔"&amp;F42&amp;"首","间隔"&amp;F42&amp;"首✓"))</f>
        <v/>
      </c>
      <c r="I42" s="96" t="n"/>
    </row>
    <row r="43" ht="15" customHeight="1" s="116">
      <c r="A43" s="94">
        <f>ROW()-1</f>
        <v/>
      </c>
      <c r="B43" s="94">
        <f>_xlfn.XLOOKUP($C43,舞种配比!$B$2:$B$91,舞种配比!$A$2:$A$91,"")</f>
        <v/>
      </c>
      <c r="C43" s="95" t="n"/>
      <c r="D43" s="94">
        <f>_xlfn.XLOOKUP($C43,舞种配比!$B$2:$B$91,舞种配比!$C$2:$C$91,"")</f>
        <v/>
      </c>
      <c r="E43" s="105">
        <f>IF(ROW()&lt;4, "OK", IF(AND(B44=B43, B43=B42), "〿相邻3次", "OK"))</f>
        <v/>
      </c>
      <c r="F43" s="96">
        <f t="array" ref="F43">IF(COUNTIF(C$2:C43,C43)&gt;1, ROW()-MAX(IF(C$1:C42=C43,ROW(C$1:C42)))-1, "首次")</f>
        <v/>
      </c>
      <c r="G43" s="96">
        <f>IF(ROW()&gt;2, IF(D43=D42, "⚠️同节奏", "OK"), "OK")</f>
        <v/>
      </c>
      <c r="H43" s="96">
        <f>IF(F43="首次","",IF(F43&lt;5,"⚠️间隔"&amp;F43&amp;"首","间隔"&amp;F43&amp;"首✓"))</f>
        <v/>
      </c>
      <c r="I43" s="96" t="n"/>
    </row>
    <row r="44" ht="15" customHeight="1" s="116">
      <c r="A44" s="94">
        <f>ROW()-1</f>
        <v/>
      </c>
      <c r="B44" s="94">
        <f>_xlfn.XLOOKUP($C44,舞种配比!$B$2:$B$91,舞种配比!$A$2:$A$91,"")</f>
        <v/>
      </c>
      <c r="C44" s="95" t="n"/>
      <c r="D44" s="94">
        <f>_xlfn.XLOOKUP($C44,舞种配比!$B$2:$B$91,舞种配比!$C$2:$C$91,"")</f>
        <v/>
      </c>
      <c r="E44" s="105">
        <f>IF(ROW()&lt;4, "OK", IF(AND(B45=B44, B44=B43), "〿相邻3次", "OK"))</f>
        <v/>
      </c>
      <c r="F44" s="96">
        <f t="array" ref="F44">IF(COUNTIF(C$2:C44,C44)&gt;1, ROW()-MAX(IF(C$1:C43=C44,ROW(C$1:C43)))-1, "首次")</f>
        <v/>
      </c>
      <c r="G44" s="96">
        <f>IF(ROW()&gt;2, IF(D44=D43, "⚠️同节奏", "OK"), "OK")</f>
        <v/>
      </c>
      <c r="H44" s="96">
        <f>IF(F44="首次","",IF(F44&lt;5,"⚠️间隔"&amp;F44&amp;"首","间隔"&amp;F44&amp;"首✓"))</f>
        <v/>
      </c>
      <c r="I44" s="96" t="n"/>
    </row>
    <row r="45" ht="15" customHeight="1" s="116">
      <c r="A45" s="94">
        <f>ROW()-1</f>
        <v/>
      </c>
      <c r="B45" s="94">
        <f>_xlfn.XLOOKUP($C45,舞种配比!$B$2:$B$91,舞种配比!$A$2:$A$91,"")</f>
        <v/>
      </c>
      <c r="C45" s="95" t="n"/>
      <c r="D45" s="94">
        <f>_xlfn.XLOOKUP($C45,舞种配比!$B$2:$B$91,舞种配比!$C$2:$C$91,"")</f>
        <v/>
      </c>
      <c r="E45" s="105">
        <f>IF(ROW()&lt;4, "OK", IF(AND(B46=B45, B45=B44), "〿相邻3次", "OK"))</f>
        <v/>
      </c>
      <c r="F45" s="96">
        <f t="array" ref="F45">IF(COUNTIF(C$2:C45,C45)&gt;1, ROW()-MAX(IF(C$1:C44=C45,ROW(C$1:C44)))-1, "首次")</f>
        <v/>
      </c>
      <c r="G45" s="96">
        <f>IF(ROW()&gt;2, IF(D45=D44, "⚠️同节奏", "OK"), "OK")</f>
        <v/>
      </c>
      <c r="H45" s="96">
        <f>IF(F45="首次","",IF(F45&lt;5,"⚠️间隔"&amp;F45&amp;"首","间隔"&amp;F45&amp;"首✓"))</f>
        <v/>
      </c>
      <c r="I45" s="96" t="n"/>
    </row>
    <row r="46" ht="15" customHeight="1" s="116">
      <c r="A46" s="94">
        <f>ROW()-1</f>
        <v/>
      </c>
      <c r="B46" s="94">
        <f>_xlfn.XLOOKUP($C46,舞种配比!$B$2:$B$91,舞种配比!$A$2:$A$91,"")</f>
        <v/>
      </c>
      <c r="C46" s="95" t="n"/>
      <c r="D46" s="94">
        <f>_xlfn.XLOOKUP($C46,舞种配比!$B$2:$B$91,舞种配比!$C$2:$C$91,"")</f>
        <v/>
      </c>
      <c r="E46" s="105">
        <f>IF(ROW()&lt;4, "OK", IF(AND(B47=B46, B46=B45), "〿相邻3次", "OK"))</f>
        <v/>
      </c>
      <c r="F46" s="96">
        <f t="array" ref="F46">IF(COUNTIF(C$2:C46,C46)&gt;1, ROW()-MAX(IF(C$1:C45=C46,ROW(C$1:C45)))-1, "首次")</f>
        <v/>
      </c>
      <c r="G46" s="96">
        <f>IF(ROW()&gt;2, IF(D46=D45, "⚠️同节奏", "OK"), "OK")</f>
        <v/>
      </c>
      <c r="H46" s="96">
        <f>IF(F46="首次","",IF(F46&lt;5,"⚠️间隔"&amp;F46&amp;"首","间隔"&amp;F46&amp;"首✓"))</f>
        <v/>
      </c>
      <c r="I46" s="96" t="n"/>
    </row>
    <row r="47" ht="15" customHeight="1" s="116">
      <c r="A47" s="94">
        <f>ROW()-1</f>
        <v/>
      </c>
      <c r="B47" s="94">
        <f>_xlfn.XLOOKUP($C47,舞种配比!$B$2:$B$91,舞种配比!$A$2:$A$91,"")</f>
        <v/>
      </c>
      <c r="C47" s="95" t="n"/>
      <c r="D47" s="94">
        <f>_xlfn.XLOOKUP($C47,舞种配比!$B$2:$B$91,舞种配比!$C$2:$C$91,"")</f>
        <v/>
      </c>
      <c r="E47" s="105">
        <f>IF(ROW()&lt;4, "OK", IF(AND(B48=B47, B47=B46), "〿相邻3次", "OK"))</f>
        <v/>
      </c>
      <c r="F47" s="96">
        <f t="array" ref="F47">IF(COUNTIF(C$2:C47,C47)&gt;1, ROW()-MAX(IF(C$1:C46=C47,ROW(C$1:C46)))-1, "首次")</f>
        <v/>
      </c>
      <c r="G47" s="96">
        <f>IF(ROW()&gt;2, IF(D47=D46, "⚠️同节奏", "OK"), "OK")</f>
        <v/>
      </c>
      <c r="H47" s="96">
        <f>IF(F47="首次","",IF(F47&lt;5,"⚠️间隔"&amp;F47&amp;"首","间隔"&amp;F47&amp;"首✓"))</f>
        <v/>
      </c>
      <c r="I47" s="96" t="n"/>
    </row>
    <row r="48" ht="15" customHeight="1" s="116">
      <c r="A48" s="94">
        <f>ROW()-1</f>
        <v/>
      </c>
      <c r="B48" s="94">
        <f>_xlfn.XLOOKUP($C48,舞种配比!$B$2:$B$91,舞种配比!$A$2:$A$91,"")</f>
        <v/>
      </c>
      <c r="C48" s="95" t="n"/>
      <c r="D48" s="94">
        <f>_xlfn.XLOOKUP($C48,舞种配比!$B$2:$B$91,舞种配比!$C$2:$C$91,"")</f>
        <v/>
      </c>
      <c r="E48" s="105">
        <f>IF(ROW()&lt;4, "OK", IF(AND(B49=B48, B48=B47), "〿相邻3次", "OK"))</f>
        <v/>
      </c>
      <c r="F48" s="96">
        <f t="array" ref="F48">IF(COUNTIF(C$2:C48,C48)&gt;1, ROW()-MAX(IF(C$1:C47=C48,ROW(C$1:C47)))-1, "首次")</f>
        <v/>
      </c>
      <c r="G48" s="96">
        <f>IF(ROW()&gt;2, IF(D48=D47, "⚠️同节奏", "OK"), "OK")</f>
        <v/>
      </c>
      <c r="H48" s="96">
        <f>IF(F48="首次","",IF(F48&lt;5,"⚠️间隔"&amp;F48&amp;"首","间隔"&amp;F48&amp;"首✓"))</f>
        <v/>
      </c>
      <c r="I48" s="96" t="n"/>
    </row>
    <row r="49" ht="15" customHeight="1" s="116">
      <c r="A49" s="94">
        <f>ROW()-1</f>
        <v/>
      </c>
      <c r="B49" s="94">
        <f>_xlfn.XLOOKUP($C49,舞种配比!$B$2:$B$91,舞种配比!$A$2:$A$91,"")</f>
        <v/>
      </c>
      <c r="C49" s="95" t="n"/>
      <c r="D49" s="94">
        <f>_xlfn.XLOOKUP($C49,舞种配比!$B$2:$B$91,舞种配比!$C$2:$C$91,"")</f>
        <v/>
      </c>
      <c r="E49" s="105">
        <f>IF(ROW()&lt;4, "OK", IF(AND(B50=B49, B49=B48), "〿相邻3次", "OK"))</f>
        <v/>
      </c>
      <c r="F49" s="96">
        <f t="array" ref="F49">IF(COUNTIF(C$2:C49,C49)&gt;1, ROW()-MAX(IF(C$1:C48=C49,ROW(C$1:C48)))-1, "首次")</f>
        <v/>
      </c>
      <c r="G49" s="96">
        <f>IF(ROW()&gt;2, IF(D49=D48, "⚠️同节奏", "OK"), "OK")</f>
        <v/>
      </c>
      <c r="H49" s="96">
        <f>IF(F49="首次","",IF(F49&lt;5,"⚠️间隔"&amp;F49&amp;"首","间隔"&amp;F49&amp;"首✓"))</f>
        <v/>
      </c>
      <c r="I49" s="96" t="n"/>
    </row>
    <row r="50" ht="15" customHeight="1" s="116">
      <c r="A50" s="94">
        <f>ROW()-1</f>
        <v/>
      </c>
      <c r="B50" s="94">
        <f>_xlfn.XLOOKUP($C50,舞种配比!$B$2:$B$91,舞种配比!$A$2:$A$91,"")</f>
        <v/>
      </c>
      <c r="C50" s="95" t="n"/>
      <c r="D50" s="94">
        <f>_xlfn.XLOOKUP($C50,舞种配比!$B$2:$B$91,舞种配比!$C$2:$C$91,"")</f>
        <v/>
      </c>
      <c r="E50" s="105">
        <f>IF(ROW()&lt;4, "OK", IF(AND(B51=B50, B50=B49), "〿相邻3次", "OK"))</f>
        <v/>
      </c>
      <c r="F50" s="96">
        <f t="array" ref="F50">IF(COUNTIF(C$2:C50,C50)&gt;1, ROW()-MAX(IF(C$1:C49=C50,ROW(C$1:C49)))-1, "首次")</f>
        <v/>
      </c>
      <c r="G50" s="96">
        <f>IF(ROW()&gt;2, IF(D50=D49, "⚠️同节奏", "OK"), "OK")</f>
        <v/>
      </c>
      <c r="H50" s="96">
        <f>IF(F50="首次","",IF(F50&lt;5,"⚠️间隔"&amp;F50&amp;"首","间隔"&amp;F50&amp;"首✓"))</f>
        <v/>
      </c>
      <c r="I50" s="96" t="n"/>
    </row>
    <row r="51" ht="15" customHeight="1" s="116">
      <c r="A51" s="94">
        <f>ROW()-1</f>
        <v/>
      </c>
      <c r="B51" s="94">
        <f>_xlfn.XLOOKUP($C51,舞种配比!$B$2:$B$91,舞种配比!$A$2:$A$91,"")</f>
        <v/>
      </c>
      <c r="C51" s="95" t="n"/>
      <c r="D51" s="94">
        <f>_xlfn.XLOOKUP($C51,舞种配比!$B$2:$B$91,舞种配比!$C$2:$C$91,"")</f>
        <v/>
      </c>
      <c r="E51" s="105">
        <f>IF(ROW()&lt;4, "OK", IF(AND(B52=B51, B51=B50), "〿相邻3次", "OK"))</f>
        <v/>
      </c>
      <c r="F51" s="96">
        <f t="array" ref="F51">IF(COUNTIF(C$2:C51,C51)&gt;1, ROW()-MAX(IF(C$1:C50=C51,ROW(C$1:C50)))-1, "首次")</f>
        <v/>
      </c>
      <c r="G51" s="96">
        <f>IF(ROW()&gt;2, IF(D51=D50, "⚠️同节奏", "OK"), "OK")</f>
        <v/>
      </c>
      <c r="H51" s="96">
        <f>IF(F51="首次","",IF(F51&lt;5,"⚠️间隔"&amp;F51&amp;"首","间隔"&amp;F51&amp;"首✓"))</f>
        <v/>
      </c>
      <c r="I51" s="96" t="n"/>
    </row>
    <row r="52" ht="15" customHeight="1" s="116">
      <c r="A52" s="94">
        <f>ROW()-1</f>
        <v/>
      </c>
      <c r="B52" s="94">
        <f>_xlfn.XLOOKUP($C52,舞种配比!$B$2:$B$91,舞种配比!$A$2:$A$91,"")</f>
        <v/>
      </c>
      <c r="C52" s="95" t="n"/>
      <c r="D52" s="94">
        <f>_xlfn.XLOOKUP($C52,舞种配比!$B$2:$B$91,舞种配比!$C$2:$C$91,"")</f>
        <v/>
      </c>
      <c r="E52" s="105">
        <f>IF(ROW()&lt;4, "OK", IF(AND(B53=B52, B52=B51), "〿相邻3次", "OK"))</f>
        <v/>
      </c>
      <c r="F52" s="96">
        <f t="array" ref="F52">IF(COUNTIF(C$2:C52,C52)&gt;1, ROW()-MAX(IF(C$1:C51=C52,ROW(C$1:C51)))-1, "首次")</f>
        <v/>
      </c>
      <c r="G52" s="96">
        <f>IF(ROW()&gt;2, IF(D52=D51, "⚠️同节奏", "OK"), "OK")</f>
        <v/>
      </c>
      <c r="H52" s="96">
        <f>IF(F52="首次","",IF(F52&lt;5,"⚠️间隔"&amp;F52&amp;"首","间隔"&amp;F52&amp;"首✓"))</f>
        <v/>
      </c>
      <c r="I52" s="96" t="n"/>
    </row>
    <row r="53" ht="15" customHeight="1" s="116">
      <c r="A53" s="96" t="n"/>
      <c r="B53" s="96" t="n"/>
      <c r="C53" s="96" t="n"/>
      <c r="D53" s="96" t="n"/>
      <c r="E53" s="96" t="n"/>
      <c r="F53" s="96" t="n"/>
      <c r="G53" s="96" t="n"/>
      <c r="H53" s="96" t="n"/>
      <c r="I53" s="96" t="n"/>
    </row>
    <row r="54" ht="15" customHeight="1" s="116">
      <c r="A54" s="96" t="n"/>
      <c r="B54" s="96" t="n"/>
      <c r="C54" s="96" t="n"/>
      <c r="D54" s="96" t="n"/>
      <c r="E54" s="96" t="n"/>
      <c r="F54" s="96" t="n"/>
      <c r="G54" s="96" t="n"/>
      <c r="H54" s="96" t="n"/>
      <c r="I54" s="96" t="n"/>
    </row>
    <row r="55" ht="15" customHeight="1" s="116">
      <c r="A55" s="96" t="n"/>
      <c r="B55" s="96" t="n"/>
      <c r="C55" s="96" t="n"/>
      <c r="D55" s="96" t="n"/>
      <c r="E55" s="96" t="n"/>
      <c r="F55" s="96" t="n"/>
      <c r="G55" s="96" t="n"/>
      <c r="H55" s="96" t="n"/>
      <c r="I55" s="96" t="n"/>
    </row>
  </sheetData>
  <conditionalFormatting sqref="A1:I52">
    <cfRule type="expression" priority="7" dxfId="10">
      <formula>(CELL("row")=ROW())+(CELL("col")=COLUMN())</formula>
    </cfRule>
  </conditionalFormatting>
  <conditionalFormatting sqref="B2:B52">
    <cfRule type="containsText" priority="8" operator="containsText" dxfId="10" text="网红舞">
      <formula>NOT(ISERROR(SEARCH("网红舞",B2)))</formula>
    </cfRule>
    <cfRule type="containsText" priority="9" operator="containsText" dxfId="9" text="集体舞">
      <formula>NOT(ISERROR(SEARCH("集体舞",B2)))</formula>
    </cfRule>
    <cfRule type="containsText" priority="10" operator="containsText" dxfId="8" text="交谊舞">
      <formula>NOT(ISERROR(SEARCH("交谊舞",B2)))</formula>
    </cfRule>
    <cfRule type="containsText" priority="11" operator="containsText" dxfId="7" text="地方舞">
      <formula>NOT(ISERROR(SEARCH("地方舞",B2)))</formula>
    </cfRule>
    <cfRule type="containsText" priority="12" operator="containsText" dxfId="6" text="拉丁舞">
      <formula>NOT(ISERROR(SEARCH("拉丁舞",B2)))</formula>
    </cfRule>
    <cfRule type="containsText" priority="13" operator="containsText" dxfId="5" text="摩登舞">
      <formula>NOT(ISERROR(SEARCH("摩登舞",B2)))</formula>
    </cfRule>
  </conditionalFormatting>
  <conditionalFormatting sqref="C2:C52">
    <cfRule type="expression" priority="2" dxfId="6">
      <formula>ISNUMBER(SEARCH("⚠️",$H2))</formula>
    </cfRule>
  </conditionalFormatting>
  <conditionalFormatting sqref="C2:D52">
    <cfRule type="expression" priority="3" dxfId="8">
      <formula>$G2="⚠️同节奏"</formula>
    </cfRule>
  </conditionalFormatting>
  <conditionalFormatting sqref="D2:E52">
    <cfRule type="containsText" priority="14" operator="containsText" dxfId="4" text="快">
      <formula>NOT(ISERROR(SEARCH("快",D2)))</formula>
    </cfRule>
    <cfRule type="containsText" priority="15" operator="containsText" dxfId="3" text="中">
      <formula>NOT(ISERROR(SEARCH("中",D2)))</formula>
    </cfRule>
    <cfRule type="containsText" priority="16" operator="containsText" dxfId="2" text="慢">
      <formula>NOT(ISERROR(SEARCH("慢",D2)))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J54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" sqref="E2"/>
    </sheetView>
  </sheetViews>
  <sheetFormatPr baseColWidth="8" defaultRowHeight="13.9"/>
  <cols>
    <col width="9.46484375" bestFit="1" customWidth="1" style="6" min="1" max="1"/>
    <col width="9.46484375" customWidth="1" style="6" min="2" max="2"/>
    <col width="7.33203125" bestFit="1" customWidth="1" style="6" min="3" max="3"/>
    <col width="7.33203125" customWidth="1" style="6" min="4" max="4"/>
    <col width="50.3984375" customWidth="1" style="6" min="5" max="5"/>
    <col width="8.53125" customWidth="1" style="6" min="6" max="6"/>
    <col width="9.06640625" customWidth="1" style="6" min="7" max="7"/>
    <col width="13.1328125" customWidth="1" style="6" min="8" max="8"/>
    <col width="9.06640625" customWidth="1" style="116" min="10" max="10"/>
  </cols>
  <sheetData>
    <row r="1" ht="15.4" customFormat="1" customHeight="1" s="3">
      <c r="A1" s="2" t="inlineStr">
        <is>
          <t>序号</t>
        </is>
      </c>
      <c r="B1" s="2" t="inlineStr">
        <is>
          <t>大类</t>
        </is>
      </c>
      <c r="C1" s="2" t="inlineStr">
        <is>
          <t>舞种</t>
        </is>
      </c>
      <c r="D1" s="2" t="inlineStr">
        <is>
          <t>节奏</t>
        </is>
      </c>
      <c r="E1" s="13" t="inlineStr">
        <is>
          <t>歌曲名</t>
        </is>
      </c>
      <c r="F1" s="2" t="inlineStr">
        <is>
          <t>时长</t>
        </is>
      </c>
      <c r="G1" s="73" t="inlineStr">
        <is>
          <t>开始时间</t>
        </is>
      </c>
      <c r="H1" s="73" t="inlineStr">
        <is>
          <t>裁剪后时长</t>
        </is>
      </c>
      <c r="I1" s="77" t="n">
        <v>0.8125</v>
      </c>
      <c r="J1" s="3" t="inlineStr">
        <is>
          <t>重命名</t>
        </is>
      </c>
    </row>
    <row r="2">
      <c r="A2" s="4">
        <f>ROW()-1</f>
        <v/>
      </c>
      <c r="B2" s="4">
        <f>_xlfn.XLOOKUP($C2,舞种配比!$B$2:$B$91,舞种配比!$A$2:$A$91,"")</f>
        <v/>
      </c>
      <c r="C2" s="15">
        <f t="array" ref="C2">_xlfn.LET(
   _xlpm.keywords, _xlfn.SORTBY(舞种配比!$B$2:$B$50, LEN(舞种配比!$B$2:$B$50), -1),
   _xlfn.XLOOKUP(TRUE, ISNUMBER(SEARCH(_xlpm.keywords, E2)), _xlpm.keywords, "")
)</f>
        <v/>
      </c>
      <c r="D2" s="5">
        <f>_xlfn.XLOOKUP($C2,舞种配比!$B$2:$B$91,舞种配比!$C$2:$C$91,"")</f>
        <v/>
      </c>
      <c r="E2" s="9" t="n"/>
      <c r="F2" s="62" t="n"/>
      <c r="G2" s="74" t="n">
        <v>0</v>
      </c>
      <c r="H2" s="120" t="n">
        <v>3</v>
      </c>
      <c r="I2" s="76">
        <f>$I1+TIME(0,0,15)+$F2</f>
        <v/>
      </c>
      <c r="J2" s="65">
        <f>"ren """ &amp; E2 &amp; """ """ &amp; TEXT(ROW(A1),"00") &amp; "-" &amp; LEFT(E2,FIND(".",E2)-1) &amp; MID(E2,FIND(".",E2),LEN(E2)) &amp; """"</f>
        <v/>
      </c>
    </row>
    <row r="3">
      <c r="A3" s="4">
        <f>ROW()-1</f>
        <v/>
      </c>
      <c r="B3" s="4">
        <f>_xlfn.XLOOKUP($C3,舞种配比!$B$2:$B$91,舞种配比!$A$2:$A$91,"")</f>
        <v/>
      </c>
      <c r="C3" s="15">
        <f t="array" ref="C3">_xlfn.LET(
   _xlpm.keywords, _xlfn.SORTBY(舞种配比!$B$2:$B$50, LEN(舞种配比!$B$2:$B$50), -1),
   _xlfn.XLOOKUP(TRUE, ISNUMBER(SEARCH(_xlpm.keywords, E3)), _xlpm.keywords, "")
)</f>
        <v/>
      </c>
      <c r="D3" s="5">
        <f>_xlfn.XLOOKUP($C3,舞种配比!$B$2:$B$91,舞种配比!$C$2:$C$91,"")</f>
        <v/>
      </c>
      <c r="E3" s="9" t="n"/>
      <c r="F3" s="62" t="n"/>
      <c r="G3" s="74" t="n">
        <v>0</v>
      </c>
      <c r="H3" s="120" t="n">
        <v>3</v>
      </c>
      <c r="I3" s="76">
        <f>$I2+TIME(0,0,15)+$F3</f>
        <v/>
      </c>
      <c r="J3" s="65">
        <f>"ren """ &amp; E3 &amp; """ """ &amp; TEXT(ROW(A2),"00") &amp; "-" &amp; LEFT(E3,FIND(".",E3)-1) &amp; MID(E3,FIND(".",E3),LEN(E3)) &amp; """"</f>
        <v/>
      </c>
    </row>
    <row r="4">
      <c r="A4" s="4">
        <f>ROW()-1</f>
        <v/>
      </c>
      <c r="B4" s="4">
        <f>_xlfn.XLOOKUP($C4,舞种配比!$B$2:$B$91,舞种配比!$A$2:$A$91,"")</f>
        <v/>
      </c>
      <c r="C4" s="15">
        <f t="array" ref="C4">_xlfn.LET(
   _xlpm.keywords, _xlfn.SORTBY(舞种配比!$B$2:$B$50, LEN(舞种配比!$B$2:$B$50), -1),
   _xlfn.XLOOKUP(TRUE, ISNUMBER(SEARCH(_xlpm.keywords, E4)), _xlpm.keywords, "")
)</f>
        <v/>
      </c>
      <c r="D4" s="5">
        <f>_xlfn.XLOOKUP($C4,舞种配比!$B$2:$B$91,舞种配比!$C$2:$C$91,"")</f>
        <v/>
      </c>
      <c r="E4" s="9" t="n"/>
      <c r="F4" s="62" t="n"/>
      <c r="G4" s="74" t="n">
        <v>0</v>
      </c>
      <c r="H4" s="120" t="n">
        <v>3</v>
      </c>
      <c r="I4" s="76">
        <f>$I3+TIME(0,0,15)+$F4</f>
        <v/>
      </c>
      <c r="J4" s="65">
        <f>"ren """ &amp; E4 &amp; """ """ &amp; TEXT(ROW(A3),"00") &amp; "-" &amp; LEFT(E4,FIND(".",E4)-1) &amp; MID(E4,FIND(".",E4),LEN(E4)) &amp; """"</f>
        <v/>
      </c>
    </row>
    <row r="5">
      <c r="A5" s="4">
        <f>ROW()-1</f>
        <v/>
      </c>
      <c r="B5" s="4">
        <f>_xlfn.XLOOKUP($C5,舞种配比!$B$2:$B$91,舞种配比!$A$2:$A$91,"")</f>
        <v/>
      </c>
      <c r="C5" s="15">
        <f t="array" ref="C5">_xlfn.LET(
   _xlpm.keywords, _xlfn.SORTBY(舞种配比!$B$2:$B$50, LEN(舞种配比!$B$2:$B$50), -1),
   _xlfn.XLOOKUP(TRUE, ISNUMBER(SEARCH(_xlpm.keywords, E5)), _xlpm.keywords, "")
)</f>
        <v/>
      </c>
      <c r="D5" s="5">
        <f>_xlfn.XLOOKUP($C5,舞种配比!$B$2:$B$91,舞种配比!$C$2:$C$91,"")</f>
        <v/>
      </c>
      <c r="E5" s="9" t="n"/>
      <c r="F5" s="62" t="n"/>
      <c r="G5" s="74" t="n">
        <v>0</v>
      </c>
      <c r="H5" s="120" t="n">
        <v>3</v>
      </c>
      <c r="I5" s="76">
        <f>$I4+TIME(0,0,15)+$F5</f>
        <v/>
      </c>
      <c r="J5" s="65">
        <f>"ren """ &amp; E5 &amp; """ """ &amp; TEXT(ROW(A4),"00") &amp; "-" &amp; LEFT(E5,FIND(".",E5)-1) &amp; MID(E5,FIND(".",E5),LEN(E5)) &amp; """"</f>
        <v/>
      </c>
    </row>
    <row r="6">
      <c r="A6" s="4">
        <f>ROW()-1</f>
        <v/>
      </c>
      <c r="B6" s="4">
        <f>_xlfn.XLOOKUP($C6,舞种配比!$B$2:$B$91,舞种配比!$A$2:$A$91,"")</f>
        <v/>
      </c>
      <c r="C6" s="15">
        <f t="array" ref="C6">_xlfn.LET(
   _xlpm.keywords, _xlfn.SORTBY(舞种配比!$B$2:$B$50, LEN(舞种配比!$B$2:$B$50), -1),
   _xlfn.XLOOKUP(TRUE, ISNUMBER(SEARCH(_xlpm.keywords, E6)), _xlpm.keywords, "")
)</f>
        <v/>
      </c>
      <c r="D6" s="5">
        <f>_xlfn.XLOOKUP($C6,舞种配比!$B$2:$B$91,舞种配比!$C$2:$C$91,"")</f>
        <v/>
      </c>
      <c r="E6" s="4" t="n"/>
      <c r="F6" s="62" t="n"/>
      <c r="G6" s="74" t="n">
        <v>0</v>
      </c>
      <c r="H6" s="120" t="n">
        <v>3</v>
      </c>
      <c r="I6" s="76">
        <f>$I5+TIME(0,0,15)+$F6</f>
        <v/>
      </c>
      <c r="J6" s="65">
        <f>"ren """ &amp; E6 &amp; """ """ &amp; TEXT(ROW(A5),"00") &amp; "-" &amp; LEFT(E6,FIND(".",E6)-1) &amp; MID(E6,FIND(".",E6),LEN(E6)) &amp; """"</f>
        <v/>
      </c>
    </row>
    <row r="7">
      <c r="A7" s="4">
        <f>ROW()-1</f>
        <v/>
      </c>
      <c r="B7" s="4">
        <f>_xlfn.XLOOKUP($C7,舞种配比!$B$2:$B$91,舞种配比!$A$2:$A$91,"")</f>
        <v/>
      </c>
      <c r="C7" s="15">
        <f t="array" ref="C7">_xlfn.LET(
   _xlpm.keywords, _xlfn.SORTBY(舞种配比!$B$2:$B$50, LEN(舞种配比!$B$2:$B$50), -1),
   _xlfn.XLOOKUP(TRUE, ISNUMBER(SEARCH(_xlpm.keywords, E7)), _xlpm.keywords, "")
)</f>
        <v/>
      </c>
      <c r="D7" s="5">
        <f>_xlfn.XLOOKUP($C7,舞种配比!$B$2:$B$91,舞种配比!$C$2:$C$91,"")</f>
        <v/>
      </c>
      <c r="E7" s="9" t="n"/>
      <c r="F7" s="62" t="n"/>
      <c r="G7" s="74" t="n">
        <v>0</v>
      </c>
      <c r="H7" s="120" t="n">
        <v>3</v>
      </c>
      <c r="I7" s="76">
        <f>$I6+TIME(0,0,15)+$F7</f>
        <v/>
      </c>
      <c r="J7" s="65">
        <f>"ren """ &amp; E7 &amp; """ """ &amp; TEXT(ROW(A6),"00") &amp; "-" &amp; LEFT(E7,FIND(".",E7)-1) &amp; MID(E7,FIND(".",E7),LEN(E7)) &amp; """"</f>
        <v/>
      </c>
    </row>
    <row r="8">
      <c r="A8" s="4">
        <f>ROW()-1</f>
        <v/>
      </c>
      <c r="B8" s="4">
        <f>_xlfn.XLOOKUP($C8,舞种配比!$B$2:$B$91,舞种配比!$A$2:$A$91,"")</f>
        <v/>
      </c>
      <c r="C8" s="15">
        <f t="array" ref="C8">_xlfn.LET(
   _xlpm.keywords, _xlfn.SORTBY(舞种配比!$B$2:$B$50, LEN(舞种配比!$B$2:$B$50), -1),
   _xlfn.XLOOKUP(TRUE, ISNUMBER(SEARCH(_xlpm.keywords, E8)), _xlpm.keywords, "")
)</f>
        <v/>
      </c>
      <c r="D8" s="5">
        <f>_xlfn.XLOOKUP($C8,舞种配比!$B$2:$B$91,舞种配比!$C$2:$C$91,"")</f>
        <v/>
      </c>
      <c r="E8" s="9" t="n"/>
      <c r="F8" s="62" t="n"/>
      <c r="G8" s="74" t="n">
        <v>0</v>
      </c>
      <c r="H8" s="120" t="n">
        <v>3</v>
      </c>
      <c r="I8" s="76">
        <f>$I7+TIME(0,0,15)+$F8</f>
        <v/>
      </c>
      <c r="J8" s="65">
        <f>"ren """ &amp; E8 &amp; """ """ &amp; TEXT(ROW(A7),"00") &amp; "-" &amp; LEFT(E8,FIND(".",E8)-1) &amp; MID(E8,FIND(".",E8),LEN(E8)) &amp; """"</f>
        <v/>
      </c>
    </row>
    <row r="9">
      <c r="A9" s="4">
        <f>ROW()-1</f>
        <v/>
      </c>
      <c r="B9" s="4">
        <f>_xlfn.XLOOKUP($C9,舞种配比!$B$2:$B$91,舞种配比!$A$2:$A$91,"")</f>
        <v/>
      </c>
      <c r="C9" s="15">
        <f t="array" ref="C9">_xlfn.LET(
   _xlpm.keywords, _xlfn.SORTBY(舞种配比!$B$2:$B$50, LEN(舞种配比!$B$2:$B$50), -1),
   _xlfn.XLOOKUP(TRUE, ISNUMBER(SEARCH(_xlpm.keywords, E9)), _xlpm.keywords, "")
)</f>
        <v/>
      </c>
      <c r="D9" s="8">
        <f>_xlfn.XLOOKUP($C9,舞种配比!$B$2:$B$91,舞种配比!$C$2:$C$91,"")</f>
        <v/>
      </c>
      <c r="E9" s="4" t="n"/>
      <c r="F9" s="62" t="n"/>
      <c r="G9" s="74" t="n">
        <v>0</v>
      </c>
      <c r="H9" s="120" t="n">
        <v>3</v>
      </c>
      <c r="I9" s="76">
        <f>$I8+TIME(0,0,15)+$F9</f>
        <v/>
      </c>
      <c r="J9" s="65">
        <f>"ren """ &amp; E9 &amp; """ """ &amp; TEXT(ROW(A8),"00") &amp; "-" &amp; LEFT(E9,FIND(".",E9)-1) &amp; MID(E9,FIND(".",E9),LEN(E9)) &amp; """"</f>
        <v/>
      </c>
    </row>
    <row r="10">
      <c r="A10" s="4">
        <f>ROW()-1</f>
        <v/>
      </c>
      <c r="B10" s="4">
        <f>_xlfn.XLOOKUP($C10,舞种配比!$B$2:$B$91,舞种配比!$A$2:$A$91,"")</f>
        <v/>
      </c>
      <c r="C10" s="15">
        <f t="array" ref="C10">_xlfn.LET(
   _xlpm.keywords, _xlfn.SORTBY(舞种配比!$B$2:$B$50, LEN(舞种配比!$B$2:$B$50), -1),
   _xlfn.XLOOKUP(TRUE, ISNUMBER(SEARCH(_xlpm.keywords, E10)), _xlpm.keywords, "")
)</f>
        <v/>
      </c>
      <c r="D10" s="5">
        <f>_xlfn.XLOOKUP($C10,舞种配比!$B$2:$B$91,舞种配比!$C$2:$C$91,"")</f>
        <v/>
      </c>
      <c r="E10" s="9" t="n"/>
      <c r="F10" s="62" t="n"/>
      <c r="G10" s="74" t="n">
        <v>0</v>
      </c>
      <c r="H10" s="120" t="n">
        <v>3</v>
      </c>
      <c r="I10" s="76">
        <f>$I9+TIME(0,0,15)+$F10</f>
        <v/>
      </c>
      <c r="J10" s="65">
        <f>"ren """ &amp; E10 &amp; """ """ &amp; TEXT(ROW(A9),"00") &amp; "-" &amp; LEFT(E10,FIND(".",E10)-1) &amp; MID(E10,FIND(".",E10),LEN(E10)) &amp; """"</f>
        <v/>
      </c>
    </row>
    <row r="11">
      <c r="A11" s="4">
        <f>ROW()-1</f>
        <v/>
      </c>
      <c r="B11" s="4">
        <f>_xlfn.XLOOKUP($C11,舞种配比!$B$2:$B$91,舞种配比!$A$2:$A$91,"")</f>
        <v/>
      </c>
      <c r="C11" s="15">
        <f t="array" ref="C11">_xlfn.LET(
   _xlpm.keywords, _xlfn.SORTBY(舞种配比!$B$2:$B$50, LEN(舞种配比!$B$2:$B$50), -1),
   _xlfn.XLOOKUP(TRUE, ISNUMBER(SEARCH(_xlpm.keywords, E11)), _xlpm.keywords, "")
)</f>
        <v/>
      </c>
      <c r="D11" s="5">
        <f>_xlfn.XLOOKUP($C11,舞种配比!$B$2:$B$91,舞种配比!$C$2:$C$91,"")</f>
        <v/>
      </c>
      <c r="E11" s="9" t="n"/>
      <c r="F11" s="62" t="n"/>
      <c r="G11" s="74" t="n">
        <v>0</v>
      </c>
      <c r="H11" s="120" t="n">
        <v>3</v>
      </c>
      <c r="I11" s="76">
        <f>$I10+TIME(0,0,15)+$F11</f>
        <v/>
      </c>
      <c r="J11" s="65">
        <f>"ren """ &amp; E11 &amp; """ """ &amp; TEXT(ROW(A10),"00") &amp; "-" &amp; LEFT(E11,FIND(".",E11)-1) &amp; MID(E11,FIND(".",E11),LEN(E11)) &amp; """"</f>
        <v/>
      </c>
    </row>
    <row r="12">
      <c r="A12" s="4">
        <f>ROW()-1</f>
        <v/>
      </c>
      <c r="B12" s="4">
        <f>_xlfn.XLOOKUP($C12,舞种配比!$B$2:$B$91,舞种配比!$A$2:$A$91,"")</f>
        <v/>
      </c>
      <c r="C12" s="15">
        <f t="array" ref="C12">_xlfn.LET(
   _xlpm.keywords, _xlfn.SORTBY(舞种配比!$B$2:$B$50, LEN(舞种配比!$B$2:$B$50), -1),
   _xlfn.XLOOKUP(TRUE, ISNUMBER(SEARCH(_xlpm.keywords, E12)), _xlpm.keywords, "")
)</f>
        <v/>
      </c>
      <c r="D12" s="5">
        <f>_xlfn.XLOOKUP($C12,舞种配比!$B$2:$B$91,舞种配比!$C$2:$C$91,"")</f>
        <v/>
      </c>
      <c r="E12" s="4" t="n"/>
      <c r="F12" s="62" t="n"/>
      <c r="G12" s="74" t="n">
        <v>0</v>
      </c>
      <c r="H12" s="120" t="n">
        <v>3</v>
      </c>
      <c r="I12" s="76">
        <f>$I11+TIME(0,0,15)+$F12</f>
        <v/>
      </c>
      <c r="J12" s="65">
        <f>"ren """ &amp; E12 &amp; """ """ &amp; TEXT(ROW(A11),"00") &amp; "-" &amp; LEFT(E12,FIND(".",E12)-1) &amp; MID(E12,FIND(".",E12),LEN(E12)) &amp; """"</f>
        <v/>
      </c>
    </row>
    <row r="13">
      <c r="A13" s="4">
        <f>ROW()-1</f>
        <v/>
      </c>
      <c r="B13" s="4">
        <f>_xlfn.XLOOKUP($C13,舞种配比!$B$2:$B$91,舞种配比!$A$2:$A$91,"")</f>
        <v/>
      </c>
      <c r="C13" s="15">
        <f t="array" ref="C13">_xlfn.LET(
   _xlpm.keywords, _xlfn.SORTBY(舞种配比!$B$2:$B$50, LEN(舞种配比!$B$2:$B$50), -1),
   _xlfn.XLOOKUP(TRUE, ISNUMBER(SEARCH(_xlpm.keywords, E13)), _xlpm.keywords, "")
)</f>
        <v/>
      </c>
      <c r="D13" s="8">
        <f>_xlfn.XLOOKUP($C13,舞种配比!$B$2:$B$91,舞种配比!$C$2:$C$91,"")</f>
        <v/>
      </c>
      <c r="E13" s="4" t="n"/>
      <c r="F13" s="62" t="n"/>
      <c r="G13" s="74" t="n">
        <v>0</v>
      </c>
      <c r="H13" s="120" t="n">
        <v>3</v>
      </c>
      <c r="I13" s="76">
        <f>$I12+TIME(0,0,15)+$F13</f>
        <v/>
      </c>
      <c r="J13" s="65">
        <f>"ren """ &amp; E13 &amp; """ """ &amp; TEXT(ROW(A12),"00") &amp; "-" &amp; LEFT(E13,FIND(".",E13)-1) &amp; MID(E13,FIND(".",E13),LEN(E13)) &amp; """"</f>
        <v/>
      </c>
    </row>
    <row r="14">
      <c r="A14" s="4">
        <f>ROW()-1</f>
        <v/>
      </c>
      <c r="B14" s="4">
        <f>_xlfn.XLOOKUP($C14,舞种配比!$B$2:$B$91,舞种配比!$A$2:$A$91,"")</f>
        <v/>
      </c>
      <c r="C14" s="15">
        <f t="array" ref="C14">_xlfn.LET(
   _xlpm.keywords, _xlfn.SORTBY(舞种配比!$B$2:$B$50, LEN(舞种配比!$B$2:$B$50), -1),
   _xlfn.XLOOKUP(TRUE, ISNUMBER(SEARCH(_xlpm.keywords, E14)), _xlpm.keywords, "")
)</f>
        <v/>
      </c>
      <c r="D14" s="7">
        <f>_xlfn.XLOOKUP($C14,舞种配比!$B$2:$B$91,舞种配比!$C$2:$C$91,"")</f>
        <v/>
      </c>
      <c r="E14" s="9" t="n"/>
      <c r="F14" s="62" t="n"/>
      <c r="G14" s="74" t="n">
        <v>0</v>
      </c>
      <c r="H14" s="120" t="n">
        <v>3</v>
      </c>
      <c r="I14" s="76">
        <f>$I13+TIME(0,0,15)+$F14</f>
        <v/>
      </c>
      <c r="J14" s="65">
        <f>"ren """ &amp; E14 &amp; """ """ &amp; TEXT(ROW(A13),"00") &amp; "-" &amp; LEFT(E14,FIND(".",E14)-1) &amp; MID(E14,FIND(".",E14),LEN(E14)) &amp; """"</f>
        <v/>
      </c>
    </row>
    <row r="15">
      <c r="A15" s="4">
        <f>ROW()-1</f>
        <v/>
      </c>
      <c r="B15" s="4">
        <f>_xlfn.XLOOKUP($C15,舞种配比!$B$2:$B$91,舞种配比!$A$2:$A$91,"")</f>
        <v/>
      </c>
      <c r="C15" s="15">
        <f t="array" ref="C15">_xlfn.LET(
   _xlpm.keywords, _xlfn.SORTBY(舞种配比!$B$2:$B$50, LEN(舞种配比!$B$2:$B$50), -1),
   _xlfn.XLOOKUP(TRUE, ISNUMBER(SEARCH(_xlpm.keywords, E15)), _xlpm.keywords, "")
)</f>
        <v/>
      </c>
      <c r="D15" s="5">
        <f>_xlfn.XLOOKUP($C15,舞种配比!$B$2:$B$91,舞种配比!$C$2:$C$91,"")</f>
        <v/>
      </c>
      <c r="E15" s="9" t="n"/>
      <c r="F15" s="62" t="n"/>
      <c r="G15" s="74" t="n">
        <v>0</v>
      </c>
      <c r="H15" s="120" t="n">
        <v>3</v>
      </c>
      <c r="I15" s="76">
        <f>$I14+TIME(0,0,15)+$F15</f>
        <v/>
      </c>
      <c r="J15" s="65">
        <f>"ren """ &amp; E15 &amp; """ """ &amp; TEXT(ROW(A14),"00") &amp; "-" &amp; LEFT(E15,FIND(".",E15)-1) &amp; MID(E15,FIND(".",E15),LEN(E15)) &amp; """"</f>
        <v/>
      </c>
    </row>
    <row r="16">
      <c r="A16" s="4">
        <f>ROW()-1</f>
        <v/>
      </c>
      <c r="B16" s="4">
        <f>_xlfn.XLOOKUP($C16,舞种配比!$B$2:$B$91,舞种配比!$A$2:$A$91,"")</f>
        <v/>
      </c>
      <c r="C16" s="15">
        <f t="array" ref="C16">_xlfn.LET(
   _xlpm.keywords, _xlfn.SORTBY(舞种配比!$B$2:$B$50, LEN(舞种配比!$B$2:$B$50), -1),
   _xlfn.XLOOKUP(TRUE, ISNUMBER(SEARCH(_xlpm.keywords, E16)), _xlpm.keywords, "")
)</f>
        <v/>
      </c>
      <c r="D16" s="8">
        <f>_xlfn.XLOOKUP($C16,舞种配比!$B$2:$B$91,舞种配比!$C$2:$C$91,"")</f>
        <v/>
      </c>
      <c r="E16" s="4" t="n"/>
      <c r="F16" s="62" t="n"/>
      <c r="G16" s="74" t="n">
        <v>0</v>
      </c>
      <c r="H16" s="120" t="n">
        <v>3</v>
      </c>
      <c r="I16" s="76">
        <f>$I15+TIME(0,0,15)+$F16</f>
        <v/>
      </c>
      <c r="J16" s="65">
        <f>"ren """ &amp; E16 &amp; """ """ &amp; TEXT(ROW(A15),"00") &amp; "-" &amp; LEFT(E16,FIND(".",E16)-1) &amp; MID(E16,FIND(".",E16),LEN(E16)) &amp; """"</f>
        <v/>
      </c>
    </row>
    <row r="17">
      <c r="A17" s="4">
        <f>ROW()-1</f>
        <v/>
      </c>
      <c r="B17" s="4">
        <f>_xlfn.XLOOKUP($C17,舞种配比!$B$2:$B$91,舞种配比!$A$2:$A$91,"")</f>
        <v/>
      </c>
      <c r="C17" s="15">
        <f t="array" ref="C17">_xlfn.LET(
   _xlpm.keywords, _xlfn.SORTBY(舞种配比!$B$2:$B$50, LEN(舞种配比!$B$2:$B$50), -1),
   _xlfn.XLOOKUP(TRUE, ISNUMBER(SEARCH(_xlpm.keywords, E17)), _xlpm.keywords, "")
)</f>
        <v/>
      </c>
      <c r="D17" s="5">
        <f>_xlfn.XLOOKUP($C17,舞种配比!$B$2:$B$91,舞种配比!$C$2:$C$91,"")</f>
        <v/>
      </c>
      <c r="E17" s="9" t="n"/>
      <c r="F17" s="62" t="n"/>
      <c r="G17" s="74" t="n">
        <v>0</v>
      </c>
      <c r="H17" s="120" t="n">
        <v>3</v>
      </c>
      <c r="I17" s="76">
        <f>$I16+TIME(0,0,15)+$F17</f>
        <v/>
      </c>
      <c r="J17" s="65">
        <f>"ren """ &amp; E17 &amp; """ """ &amp; TEXT(ROW(A16),"00") &amp; "-" &amp; LEFT(E17,FIND(".",E17)-1) &amp; MID(E17,FIND(".",E17),LEN(E17)) &amp; """"</f>
        <v/>
      </c>
    </row>
    <row r="18">
      <c r="A18" s="4">
        <f>ROW()-1</f>
        <v/>
      </c>
      <c r="B18" s="4">
        <f>_xlfn.XLOOKUP($C18,舞种配比!$B$2:$B$91,舞种配比!$A$2:$A$91,"")</f>
        <v/>
      </c>
      <c r="C18" s="15">
        <f t="array" ref="C18">_xlfn.LET(
   _xlpm.keywords, _xlfn.SORTBY(舞种配比!$B$2:$B$50, LEN(舞种配比!$B$2:$B$50), -1),
   _xlfn.XLOOKUP(TRUE, ISNUMBER(SEARCH(_xlpm.keywords, E18)), _xlpm.keywords, "")
)</f>
        <v/>
      </c>
      <c r="D18" s="5">
        <f>_xlfn.XLOOKUP($C18,舞种配比!$B$2:$B$91,舞种配比!$C$2:$C$91,"")</f>
        <v/>
      </c>
      <c r="E18" s="9" t="n"/>
      <c r="F18" s="62" t="n"/>
      <c r="G18" s="74" t="n">
        <v>0</v>
      </c>
      <c r="H18" s="120" t="n">
        <v>3</v>
      </c>
      <c r="I18" s="76">
        <f>$I17+TIME(0,0,15)+$F18</f>
        <v/>
      </c>
      <c r="J18" s="65">
        <f>"ren """ &amp; E18 &amp; """ """ &amp; TEXT(ROW(A17),"00") &amp; "-" &amp; LEFT(E18,FIND(".",E18)-1) &amp; MID(E18,FIND(".",E18),LEN(E18)) &amp; """"</f>
        <v/>
      </c>
    </row>
    <row r="19">
      <c r="A19" s="4">
        <f>ROW()-1</f>
        <v/>
      </c>
      <c r="B19" s="4">
        <f>_xlfn.XLOOKUP($C19,舞种配比!$B$2:$B$91,舞种配比!$A$2:$A$91,"")</f>
        <v/>
      </c>
      <c r="C19" s="15">
        <f t="array" ref="C19">_xlfn.LET(
   _xlpm.keywords, _xlfn.SORTBY(舞种配比!$B$2:$B$50, LEN(舞种配比!$B$2:$B$50), -1),
   _xlfn.XLOOKUP(TRUE, ISNUMBER(SEARCH(_xlpm.keywords, E19)), _xlpm.keywords, "")
)</f>
        <v/>
      </c>
      <c r="D19" s="5">
        <f>_xlfn.XLOOKUP($C19,舞种配比!$B$2:$B$91,舞种配比!$C$2:$C$91,"")</f>
        <v/>
      </c>
      <c r="E19" s="4" t="n"/>
      <c r="F19" s="62" t="n"/>
      <c r="G19" s="74" t="n">
        <v>0</v>
      </c>
      <c r="H19" s="120" t="n">
        <v>3</v>
      </c>
      <c r="I19" s="76">
        <f>$I18+TIME(0,0,15)+$F19</f>
        <v/>
      </c>
      <c r="J19" s="65">
        <f>"ren """ &amp; E19 &amp; """ """ &amp; TEXT(ROW(A18),"00") &amp; "-" &amp; LEFT(E19,FIND(".",E19)-1) &amp; MID(E19,FIND(".",E19),LEN(E19)) &amp; """"</f>
        <v/>
      </c>
    </row>
    <row r="20">
      <c r="A20" s="4">
        <f>ROW()-1</f>
        <v/>
      </c>
      <c r="B20" s="4">
        <f>_xlfn.XLOOKUP($C20,舞种配比!$B$2:$B$91,舞种配比!$A$2:$A$91,"")</f>
        <v/>
      </c>
      <c r="C20" s="15">
        <f t="array" ref="C20">_xlfn.LET(
   _xlpm.keywords, _xlfn.SORTBY(舞种配比!$B$2:$B$50, LEN(舞种配比!$B$2:$B$50), -1),
   _xlfn.XLOOKUP(TRUE, ISNUMBER(SEARCH(_xlpm.keywords, E20)), _xlpm.keywords, "")
)</f>
        <v/>
      </c>
      <c r="D20" s="5">
        <f>_xlfn.XLOOKUP($C20,舞种配比!$B$2:$B$91,舞种配比!$C$2:$C$91,"")</f>
        <v/>
      </c>
      <c r="E20" s="4" t="n"/>
      <c r="F20" s="62" t="n"/>
      <c r="G20" s="74" t="n">
        <v>0</v>
      </c>
      <c r="H20" s="120" t="n">
        <v>3</v>
      </c>
      <c r="I20" s="76">
        <f>$I19+TIME(0,0,15)+$F20</f>
        <v/>
      </c>
      <c r="J20" s="65">
        <f>"ren """ &amp; E20 &amp; """ """ &amp; TEXT(ROW(A19),"00") &amp; "-" &amp; LEFT(E20,FIND(".",E20)-1) &amp; MID(E20,FIND(".",E20),LEN(E20)) &amp; """"</f>
        <v/>
      </c>
    </row>
    <row r="21">
      <c r="A21" s="4">
        <f>ROW()-1</f>
        <v/>
      </c>
      <c r="B21" s="4">
        <f>_xlfn.XLOOKUP($C21,舞种配比!$B$2:$B$91,舞种配比!$A$2:$A$91,"")</f>
        <v/>
      </c>
      <c r="C21" s="15">
        <f t="array" ref="C21">_xlfn.LET(
   _xlpm.keywords, _xlfn.SORTBY(舞种配比!$B$2:$B$50, LEN(舞种配比!$B$2:$B$50), -1),
   _xlfn.XLOOKUP(TRUE, ISNUMBER(SEARCH(_xlpm.keywords, E21)), _xlpm.keywords, "")
)</f>
        <v/>
      </c>
      <c r="D21" s="5">
        <f>_xlfn.XLOOKUP($C21,舞种配比!$B$2:$B$91,舞种配比!$C$2:$C$91,"")</f>
        <v/>
      </c>
      <c r="E21" s="9" t="n"/>
      <c r="F21" s="62" t="n"/>
      <c r="G21" s="74" t="n">
        <v>0</v>
      </c>
      <c r="H21" s="120" t="n">
        <v>3</v>
      </c>
      <c r="I21" s="76">
        <f>$I20+TIME(0,0,15)+$F21</f>
        <v/>
      </c>
      <c r="J21" s="65">
        <f>"ren """ &amp; E21 &amp; """ """ &amp; TEXT(ROW(A20),"00") &amp; "-" &amp; LEFT(E21,FIND(".",E21)-1) &amp; MID(E21,FIND(".",E21),LEN(E21)) &amp; """"</f>
        <v/>
      </c>
    </row>
    <row r="22">
      <c r="A22" s="4">
        <f>ROW()-1</f>
        <v/>
      </c>
      <c r="B22" s="4">
        <f>_xlfn.XLOOKUP($C22,舞种配比!$B$2:$B$91,舞种配比!$A$2:$A$91,"")</f>
        <v/>
      </c>
      <c r="C22" s="15">
        <f t="array" ref="C22">_xlfn.LET(
   _xlpm.keywords, _xlfn.SORTBY(舞种配比!$B$2:$B$50, LEN(舞种配比!$B$2:$B$50), -1),
   _xlfn.XLOOKUP(TRUE, ISNUMBER(SEARCH(_xlpm.keywords, E22)), _xlpm.keywords, "")
)</f>
        <v/>
      </c>
      <c r="D22" s="5">
        <f>_xlfn.XLOOKUP($C22,舞种配比!$B$2:$B$91,舞种配比!$C$2:$C$91,"")</f>
        <v/>
      </c>
      <c r="E22" s="9" t="n"/>
      <c r="F22" s="62" t="n"/>
      <c r="G22" s="74" t="n">
        <v>0</v>
      </c>
      <c r="H22" s="120" t="n">
        <v>3</v>
      </c>
      <c r="I22" s="76">
        <f>$I21+TIME(0,0,15)+$F22</f>
        <v/>
      </c>
      <c r="J22" s="65">
        <f>"ren """ &amp; E22 &amp; """ """ &amp; TEXT(ROW(A21),"00") &amp; "-" &amp; LEFT(E22,FIND(".",E22)-1) &amp; MID(E22,FIND(".",E22),LEN(E22)) &amp; """"</f>
        <v/>
      </c>
    </row>
    <row r="23">
      <c r="A23" s="4">
        <f>ROW()-1</f>
        <v/>
      </c>
      <c r="B23" s="4">
        <f>_xlfn.XLOOKUP($C23,舞种配比!$B$2:$B$91,舞种配比!$A$2:$A$91,"")</f>
        <v/>
      </c>
      <c r="C23" s="15">
        <f t="array" ref="C23">_xlfn.LET(
   _xlpm.keywords, _xlfn.SORTBY(舞种配比!$B$2:$B$50, LEN(舞种配比!$B$2:$B$50), -1),
   _xlfn.XLOOKUP(TRUE, ISNUMBER(SEARCH(_xlpm.keywords, E23)), _xlpm.keywords, "")
)</f>
        <v/>
      </c>
      <c r="D23" s="5">
        <f>_xlfn.XLOOKUP($C23,舞种配比!$B$2:$B$91,舞种配比!$C$2:$C$91,"")</f>
        <v/>
      </c>
      <c r="E23" s="4" t="n"/>
      <c r="F23" s="62" t="n"/>
      <c r="G23" s="74" t="n">
        <v>0</v>
      </c>
      <c r="H23" s="120" t="n">
        <v>3</v>
      </c>
      <c r="I23" s="76">
        <f>$I22+TIME(0,0,15)+$F23</f>
        <v/>
      </c>
      <c r="J23" s="65">
        <f>"ren """ &amp; E23 &amp; """ """ &amp; TEXT(ROW(A22),"00") &amp; "-" &amp; LEFT(E23,FIND(".",E23)-1) &amp; MID(E23,FIND(".",E23),LEN(E23)) &amp; """"</f>
        <v/>
      </c>
    </row>
    <row r="24">
      <c r="A24" s="4">
        <f>ROW()-1</f>
        <v/>
      </c>
      <c r="B24" s="4">
        <f>_xlfn.XLOOKUP($C24,舞种配比!$B$2:$B$91,舞种配比!$A$2:$A$91,"")</f>
        <v/>
      </c>
      <c r="C24" s="15">
        <f t="array" ref="C24">_xlfn.LET(
   _xlpm.keywords, _xlfn.SORTBY(舞种配比!$B$2:$B$50, LEN(舞种配比!$B$2:$B$50), -1),
   _xlfn.XLOOKUP(TRUE, ISNUMBER(SEARCH(_xlpm.keywords, E24)), _xlpm.keywords, "")
)</f>
        <v/>
      </c>
      <c r="D24" s="7">
        <f>_xlfn.XLOOKUP($C24,舞种配比!$B$2:$B$91,舞种配比!$C$2:$C$91,"")</f>
        <v/>
      </c>
      <c r="E24" s="4" t="n"/>
      <c r="F24" s="62" t="n"/>
      <c r="G24" s="74" t="n">
        <v>0</v>
      </c>
      <c r="H24" s="120" t="n">
        <v>3</v>
      </c>
      <c r="I24" s="76">
        <f>$I23+TIME(0,0,15)+$F24</f>
        <v/>
      </c>
      <c r="J24" s="65">
        <f>"ren """ &amp; E24 &amp; """ """ &amp; TEXT(ROW(A23),"00") &amp; "-" &amp; LEFT(E24,FIND(".",E24)-1) &amp; MID(E24,FIND(".",E24),LEN(E24)) &amp; """"</f>
        <v/>
      </c>
    </row>
    <row r="25">
      <c r="A25" s="4">
        <f>ROW()-1</f>
        <v/>
      </c>
      <c r="B25" s="4">
        <f>_xlfn.XLOOKUP($C25,舞种配比!$B$2:$B$91,舞种配比!$A$2:$A$91,"")</f>
        <v/>
      </c>
      <c r="C25" s="15">
        <f t="array" ref="C25">_xlfn.LET(
   _xlpm.keywords, _xlfn.SORTBY(舞种配比!$B$2:$B$50, LEN(舞种配比!$B$2:$B$50), -1),
   _xlfn.XLOOKUP(TRUE, ISNUMBER(SEARCH(_xlpm.keywords, E25)), _xlpm.keywords, "")
)</f>
        <v/>
      </c>
      <c r="D25" s="7">
        <f>_xlfn.XLOOKUP($C25,舞种配比!$B$2:$B$91,舞种配比!$C$2:$C$91,"")</f>
        <v/>
      </c>
      <c r="E25" s="4" t="n"/>
      <c r="F25" s="62" t="n"/>
      <c r="G25" s="74" t="n">
        <v>0</v>
      </c>
      <c r="H25" s="120" t="n">
        <v>3</v>
      </c>
      <c r="I25" s="76">
        <f>$I24+TIME(0,0,15)+$F25</f>
        <v/>
      </c>
      <c r="J25" s="65">
        <f>"ren """ &amp; E25 &amp; """ """ &amp; TEXT(ROW(A24),"00") &amp; "-" &amp; LEFT(E25,FIND(".",E25)-1) &amp; MID(E25,FIND(".",E25),LEN(E25)) &amp; """"</f>
        <v/>
      </c>
    </row>
    <row r="26">
      <c r="A26" s="4">
        <f>ROW()-1</f>
        <v/>
      </c>
      <c r="B26" s="4">
        <f>_xlfn.XLOOKUP($C26,舞种配比!$B$2:$B$91,舞种配比!$A$2:$A$91,"")</f>
        <v/>
      </c>
      <c r="C26" s="15">
        <f t="array" ref="C26">_xlfn.LET(
   _xlpm.keywords, _xlfn.SORTBY(舞种配比!$B$2:$B$50, LEN(舞种配比!$B$2:$B$50), -1),
   _xlfn.XLOOKUP(TRUE, ISNUMBER(SEARCH(_xlpm.keywords, E26)), _xlpm.keywords, "")
)</f>
        <v/>
      </c>
      <c r="D26" s="5">
        <f>_xlfn.XLOOKUP($C26,舞种配比!$B$2:$B$91,舞种配比!$C$2:$C$91,"")</f>
        <v/>
      </c>
      <c r="E26" s="4" t="n"/>
      <c r="F26" s="62" t="n"/>
      <c r="G26" s="74" t="n">
        <v>0</v>
      </c>
      <c r="H26" s="120" t="n">
        <v>3</v>
      </c>
      <c r="I26" s="76">
        <f>$I25+TIME(0,0,15)+$F26</f>
        <v/>
      </c>
      <c r="J26" s="65">
        <f>"ren """ &amp; E26 &amp; """ """ &amp; TEXT(ROW(A25),"00") &amp; "-" &amp; LEFT(E26,FIND(".",E26)-1) &amp; MID(E26,FIND(".",E26),LEN(E26)) &amp; """"</f>
        <v/>
      </c>
    </row>
    <row r="27">
      <c r="A27" s="4">
        <f>ROW()-1</f>
        <v/>
      </c>
      <c r="B27" s="4">
        <f>_xlfn.XLOOKUP($C27,舞种配比!$B$2:$B$91,舞种配比!$A$2:$A$91,"")</f>
        <v/>
      </c>
      <c r="C27" s="15">
        <f t="array" ref="C27">_xlfn.LET(
   _xlpm.keywords, _xlfn.SORTBY(舞种配比!$B$2:$B$50, LEN(舞种配比!$B$2:$B$50), -1),
   _xlfn.XLOOKUP(TRUE, ISNUMBER(SEARCH(_xlpm.keywords, E27)), _xlpm.keywords, "")
)</f>
        <v/>
      </c>
      <c r="D27" s="5">
        <f>_xlfn.XLOOKUP($C27,舞种配比!$B$2:$B$91,舞种配比!$C$2:$C$91,"")</f>
        <v/>
      </c>
      <c r="E27" s="4" t="n"/>
      <c r="F27" s="62" t="n"/>
      <c r="G27" s="74" t="n">
        <v>0</v>
      </c>
      <c r="H27" s="120" t="n">
        <v>3</v>
      </c>
      <c r="I27" s="76">
        <f>$I26+TIME(0,0,15)+$F27</f>
        <v/>
      </c>
      <c r="J27" s="65">
        <f>"ren """ &amp; E27 &amp; """ """ &amp; TEXT(ROW(A26),"00") &amp; "-" &amp; LEFT(E27,FIND(".",E27)-1) &amp; MID(E27,FIND(".",E27),LEN(E27)) &amp; """"</f>
        <v/>
      </c>
    </row>
    <row r="28">
      <c r="A28" s="4">
        <f>ROW()-1</f>
        <v/>
      </c>
      <c r="B28" s="4">
        <f>_xlfn.XLOOKUP($C28,舞种配比!$B$2:$B$91,舞种配比!$A$2:$A$91,"")</f>
        <v/>
      </c>
      <c r="C28" s="15">
        <f t="array" ref="C28">_xlfn.LET(
   _xlpm.keywords, _xlfn.SORTBY(舞种配比!$B$2:$B$50, LEN(舞种配比!$B$2:$B$50), -1),
   _xlfn.XLOOKUP(TRUE, ISNUMBER(SEARCH(_xlpm.keywords, E28)), _xlpm.keywords, "")
)</f>
        <v/>
      </c>
      <c r="D28" s="5">
        <f>_xlfn.XLOOKUP($C28,舞种配比!$B$2:$B$91,舞种配比!$C$2:$C$91,"")</f>
        <v/>
      </c>
      <c r="E28" s="4" t="n"/>
      <c r="F28" s="62" t="n"/>
      <c r="G28" s="74" t="n">
        <v>0</v>
      </c>
      <c r="H28" s="120" t="n">
        <v>3</v>
      </c>
      <c r="I28" s="76">
        <f>$I27+TIME(0,0,15)+$F28</f>
        <v/>
      </c>
      <c r="J28" s="65">
        <f>"ren """ &amp; E28 &amp; """ """ &amp; TEXT(ROW(A27),"00") &amp; "-" &amp; LEFT(E28,FIND(".",E28)-1) &amp; MID(E28,FIND(".",E28),LEN(E28)) &amp; """"</f>
        <v/>
      </c>
    </row>
    <row r="29">
      <c r="A29" s="4">
        <f>ROW()-1</f>
        <v/>
      </c>
      <c r="B29" s="4">
        <f>_xlfn.XLOOKUP($C29,舞种配比!$B$2:$B$91,舞种配比!$A$2:$A$91,"")</f>
        <v/>
      </c>
      <c r="C29" s="15">
        <f t="array" ref="C29">_xlfn.LET(
   _xlpm.keywords, _xlfn.SORTBY(舞种配比!$B$2:$B$50, LEN(舞种配比!$B$2:$B$50), -1),
   _xlfn.XLOOKUP(TRUE, ISNUMBER(SEARCH(_xlpm.keywords, E29)), _xlpm.keywords, "")
)</f>
        <v/>
      </c>
      <c r="D29" s="8">
        <f>_xlfn.XLOOKUP($C29,舞种配比!$B$2:$B$91,舞种配比!$C$2:$C$91,"")</f>
        <v/>
      </c>
      <c r="E29" s="9" t="n"/>
      <c r="F29" s="62" t="n"/>
      <c r="G29" s="74" t="n">
        <v>0</v>
      </c>
      <c r="H29" s="120" t="n">
        <v>3</v>
      </c>
      <c r="I29" s="76">
        <f>$I28+TIME(0,0,15)+$F29</f>
        <v/>
      </c>
      <c r="J29" s="65">
        <f>"ren """ &amp; E29 &amp; """ """ &amp; TEXT(ROW(A28),"00") &amp; "-" &amp; LEFT(E29,FIND(".",E29)-1) &amp; MID(E29,FIND(".",E29),LEN(E29)) &amp; """"</f>
        <v/>
      </c>
    </row>
    <row r="30">
      <c r="A30" s="4">
        <f>ROW()-1</f>
        <v/>
      </c>
      <c r="B30" s="4">
        <f>_xlfn.XLOOKUP($C30,舞种配比!$B$2:$B$91,舞种配比!$A$2:$A$91,"")</f>
        <v/>
      </c>
      <c r="C30" s="15">
        <f t="array" ref="C30">_xlfn.LET(
   _xlpm.keywords, _xlfn.SORTBY(舞种配比!$B$2:$B$50, LEN(舞种配比!$B$2:$B$50), -1),
   _xlfn.XLOOKUP(TRUE, ISNUMBER(SEARCH(_xlpm.keywords, E30)), _xlpm.keywords, "")
)</f>
        <v/>
      </c>
      <c r="D30" s="5">
        <f>_xlfn.XLOOKUP($C30,舞种配比!$B$2:$B$91,舞种配比!$C$2:$C$91,"")</f>
        <v/>
      </c>
      <c r="E30" s="4" t="n"/>
      <c r="F30" s="62" t="n"/>
      <c r="G30" s="74" t="n">
        <v>0</v>
      </c>
      <c r="H30" s="120" t="n">
        <v>3</v>
      </c>
      <c r="I30" s="76">
        <f>$I29+TIME(0,0,15)+$F30</f>
        <v/>
      </c>
      <c r="J30" s="65">
        <f>"ren """ &amp; E30 &amp; """ """ &amp; TEXT(ROW(A29),"00") &amp; "-" &amp; LEFT(E30,FIND(".",E30)-1) &amp; MID(E30,FIND(".",E30),LEN(E30)) &amp; """"</f>
        <v/>
      </c>
    </row>
    <row r="31">
      <c r="A31" s="4">
        <f>ROW()-1</f>
        <v/>
      </c>
      <c r="B31" s="4">
        <f>_xlfn.XLOOKUP($C31,舞种配比!$B$2:$B$91,舞种配比!$A$2:$A$91,"")</f>
        <v/>
      </c>
      <c r="C31" s="15">
        <f t="array" ref="C31">_xlfn.LET(
   _xlpm.keywords, _xlfn.SORTBY(舞种配比!$B$2:$B$50, LEN(舞种配比!$B$2:$B$50), -1),
   _xlfn.XLOOKUP(TRUE, ISNUMBER(SEARCH(_xlpm.keywords, E31)), _xlpm.keywords, "")
)</f>
        <v/>
      </c>
      <c r="D31" s="5">
        <f>_xlfn.XLOOKUP($C31,舞种配比!$B$2:$B$91,舞种配比!$C$2:$C$91,"")</f>
        <v/>
      </c>
      <c r="E31" s="4" t="n"/>
      <c r="F31" s="62" t="n"/>
      <c r="G31" s="74" t="n">
        <v>0</v>
      </c>
      <c r="H31" s="120" t="n">
        <v>3</v>
      </c>
      <c r="I31" s="76">
        <f>$I30+TIME(0,0,15)+$F31</f>
        <v/>
      </c>
      <c r="J31" s="65">
        <f>"ren """ &amp; E31 &amp; """ """ &amp; TEXT(ROW(A30),"00") &amp; "-" &amp; LEFT(E31,FIND(".",E31)-1) &amp; MID(E31,FIND(".",E31),LEN(E31)) &amp; """"</f>
        <v/>
      </c>
    </row>
    <row r="32">
      <c r="A32" s="4">
        <f>ROW()-1</f>
        <v/>
      </c>
      <c r="B32" s="4">
        <f>_xlfn.XLOOKUP($C32,舞种配比!$B$2:$B$91,舞种配比!$A$2:$A$91,"")</f>
        <v/>
      </c>
      <c r="C32" s="15">
        <f t="array" ref="C32">_xlfn.LET(
   _xlpm.keywords, _xlfn.SORTBY(舞种配比!$B$2:$B$50, LEN(舞种配比!$B$2:$B$50), -1),
   _xlfn.XLOOKUP(TRUE, ISNUMBER(SEARCH(_xlpm.keywords, E32)), _xlpm.keywords, "")
)</f>
        <v/>
      </c>
      <c r="D32" s="5">
        <f>_xlfn.XLOOKUP($C32,舞种配比!$B$2:$B$91,舞种配比!$C$2:$C$91,"")</f>
        <v/>
      </c>
      <c r="E32" s="4" t="n"/>
      <c r="F32" s="62" t="n"/>
      <c r="G32" s="74" t="n">
        <v>0</v>
      </c>
      <c r="H32" s="120" t="n">
        <v>3</v>
      </c>
      <c r="I32" s="76">
        <f>$I31+TIME(0,0,15)+$F32</f>
        <v/>
      </c>
      <c r="J32" s="65">
        <f>"ren """ &amp; E32 &amp; """ """ &amp; TEXT(ROW(A31),"00") &amp; "-" &amp; LEFT(E32,FIND(".",E32)-1) &amp; MID(E32,FIND(".",E32),LEN(E32)) &amp; """"</f>
        <v/>
      </c>
    </row>
    <row r="33">
      <c r="A33" s="4">
        <f>ROW()-1</f>
        <v/>
      </c>
      <c r="B33" s="4">
        <f>_xlfn.XLOOKUP($C33,舞种配比!$B$2:$B$91,舞种配比!$A$2:$A$91,"")</f>
        <v/>
      </c>
      <c r="C33" s="15">
        <f t="array" ref="C33">_xlfn.LET(
   _xlpm.keywords, _xlfn.SORTBY(舞种配比!$B$2:$B$50, LEN(舞种配比!$B$2:$B$50), -1),
   _xlfn.XLOOKUP(TRUE, ISNUMBER(SEARCH(_xlpm.keywords, E33)), _xlpm.keywords, "")
)</f>
        <v/>
      </c>
      <c r="D33" s="10">
        <f>_xlfn.XLOOKUP($C33,舞种配比!$B$2:$B$91,舞种配比!$C$2:$C$91,"")</f>
        <v/>
      </c>
      <c r="E33" s="4" t="n"/>
      <c r="F33" s="62" t="n"/>
      <c r="G33" s="74" t="n">
        <v>0</v>
      </c>
      <c r="H33" s="120" t="n">
        <v>3</v>
      </c>
      <c r="I33" s="76">
        <f>$I32+TIME(0,0,15)+$F33</f>
        <v/>
      </c>
      <c r="J33" s="65">
        <f>"ren """ &amp; E33 &amp; """ """ &amp; TEXT(ROW(A32),"00") &amp; "-" &amp; LEFT(E33,FIND(".",E33)-1) &amp; MID(E33,FIND(".",E33),LEN(E33)) &amp; """"</f>
        <v/>
      </c>
    </row>
    <row r="34">
      <c r="A34" s="4">
        <f>ROW()-1</f>
        <v/>
      </c>
      <c r="B34" s="4">
        <f>_xlfn.XLOOKUP($C34,舞种配比!$B$2:$B$91,舞种配比!$A$2:$A$91,"")</f>
        <v/>
      </c>
      <c r="C34" s="15">
        <f t="array" ref="C34">_xlfn.LET(
   _xlpm.keywords, _xlfn.SORTBY(舞种配比!$B$2:$B$50, LEN(舞种配比!$B$2:$B$50), -1),
   _xlfn.XLOOKUP(TRUE, ISNUMBER(SEARCH(_xlpm.keywords, E34)), _xlpm.keywords, "")
)</f>
        <v/>
      </c>
      <c r="D34" s="11">
        <f>_xlfn.XLOOKUP($C34,舞种配比!$B$2:$B$91,舞种配比!$C$2:$C$91,"")</f>
        <v/>
      </c>
      <c r="E34" s="4" t="n"/>
      <c r="F34" s="62" t="n"/>
      <c r="G34" s="74" t="n">
        <v>0</v>
      </c>
      <c r="H34" s="120" t="n">
        <v>3</v>
      </c>
      <c r="I34" s="76">
        <f>$I33+TIME(0,0,15)+$F34</f>
        <v/>
      </c>
      <c r="J34" s="65">
        <f>"ren """ &amp; E34 &amp; """ """ &amp; TEXT(ROW(A33),"00") &amp; "-" &amp; LEFT(E34,FIND(".",E34)-1) &amp; MID(E34,FIND(".",E34),LEN(E34)) &amp; """"</f>
        <v/>
      </c>
    </row>
    <row r="35">
      <c r="A35" s="4">
        <f>ROW()-1</f>
        <v/>
      </c>
      <c r="B35" s="4">
        <f>_xlfn.XLOOKUP($C35,舞种配比!$B$2:$B$91,舞种配比!$A$2:$A$91,"")</f>
        <v/>
      </c>
      <c r="C35" s="15">
        <f t="array" ref="C35">_xlfn.LET(
   _xlpm.keywords, _xlfn.SORTBY(舞种配比!$B$2:$B$50, LEN(舞种配比!$B$2:$B$50), -1),
   _xlfn.XLOOKUP(TRUE, ISNUMBER(SEARCH(_xlpm.keywords, E35)), _xlpm.keywords, "")
)</f>
        <v/>
      </c>
      <c r="D35" s="5">
        <f>_xlfn.XLOOKUP($C35,舞种配比!$B$2:$B$91,舞种配比!$C$2:$C$91,"")</f>
        <v/>
      </c>
      <c r="E35" s="4" t="n"/>
      <c r="F35" s="62" t="n"/>
      <c r="G35" s="74" t="n">
        <v>0</v>
      </c>
      <c r="H35" s="120" t="n">
        <v>3</v>
      </c>
      <c r="I35" s="76">
        <f>$I34+TIME(0,0,15)+$F35</f>
        <v/>
      </c>
      <c r="J35" s="65">
        <f>"ren """ &amp; E35 &amp; """ """ &amp; TEXT(ROW(A34),"00") &amp; "-" &amp; LEFT(E35,FIND(".",E35)-1) &amp; MID(E35,FIND(".",E35),LEN(E35)) &amp; """"</f>
        <v/>
      </c>
    </row>
    <row r="36">
      <c r="A36" s="4">
        <f>ROW()-1</f>
        <v/>
      </c>
      <c r="B36" s="4">
        <f>_xlfn.XLOOKUP($C36,舞种配比!$B$2:$B$91,舞种配比!$A$2:$A$91,"")</f>
        <v/>
      </c>
      <c r="C36" s="15">
        <f t="array" ref="C36">_xlfn.LET(
   _xlpm.keywords, _xlfn.SORTBY(舞种配比!$B$2:$B$50, LEN(舞种配比!$B$2:$B$50), -1),
   _xlfn.XLOOKUP(TRUE, ISNUMBER(SEARCH(_xlpm.keywords, E36)), _xlpm.keywords, "")
)</f>
        <v/>
      </c>
      <c r="D36" s="5">
        <f>_xlfn.XLOOKUP($C36,舞种配比!$B$2:$B$91,舞种配比!$C$2:$C$91,"")</f>
        <v/>
      </c>
      <c r="E36" s="4" t="n"/>
      <c r="F36" s="62" t="n"/>
      <c r="G36" s="74" t="n">
        <v>0</v>
      </c>
      <c r="H36" s="120" t="n">
        <v>3</v>
      </c>
      <c r="I36" s="76">
        <f>$I35+TIME(0,0,15)+$F36</f>
        <v/>
      </c>
      <c r="J36" s="65">
        <f>"ren """ &amp; E36 &amp; """ """ &amp; TEXT(ROW(A35),"00") &amp; "-" &amp; LEFT(E36,FIND(".",E36)-1) &amp; MID(E36,FIND(".",E36),LEN(E36)) &amp; """"</f>
        <v/>
      </c>
    </row>
    <row r="37">
      <c r="A37" s="4">
        <f>ROW()-1</f>
        <v/>
      </c>
      <c r="B37" s="4">
        <f>_xlfn.XLOOKUP($C37,舞种配比!$B$2:$B$91,舞种配比!$A$2:$A$91,"")</f>
        <v/>
      </c>
      <c r="C37" s="15">
        <f t="array" ref="C37">_xlfn.LET(
   _xlpm.keywords, _xlfn.SORTBY(舞种配比!$B$2:$B$50, LEN(舞种配比!$B$2:$B$50), -1),
   _xlfn.XLOOKUP(TRUE, ISNUMBER(SEARCH(_xlpm.keywords, E37)), _xlpm.keywords, "")
)</f>
        <v/>
      </c>
      <c r="D37" s="11">
        <f>_xlfn.XLOOKUP($C37,舞种配比!$B$2:$B$91,舞种配比!$C$2:$C$91,"")</f>
        <v/>
      </c>
      <c r="E37" s="4" t="n"/>
      <c r="F37" s="62" t="n"/>
      <c r="G37" s="74" t="n">
        <v>0</v>
      </c>
      <c r="H37" s="120" t="n">
        <v>3</v>
      </c>
      <c r="I37" s="76">
        <f>$I36+TIME(0,0,15)+$F37</f>
        <v/>
      </c>
      <c r="J37" s="65">
        <f>"ren """ &amp; E37 &amp; """ """ &amp; TEXT(ROW(A36),"00") &amp; "-" &amp; LEFT(E37,FIND(".",E37)-1) &amp; MID(E37,FIND(".",E37),LEN(E37)) &amp; """"</f>
        <v/>
      </c>
    </row>
    <row r="38">
      <c r="A38" s="4">
        <f>ROW()-1</f>
        <v/>
      </c>
      <c r="B38" s="4">
        <f>_xlfn.XLOOKUP($C38,舞种配比!$B$2:$B$91,舞种配比!$A$2:$A$91,"")</f>
        <v/>
      </c>
      <c r="C38" s="15">
        <f t="array" ref="C38">_xlfn.LET(
   _xlpm.keywords, _xlfn.SORTBY(舞种配比!$B$2:$B$50, LEN(舞种配比!$B$2:$B$50), -1),
   _xlfn.XLOOKUP(TRUE, ISNUMBER(SEARCH(_xlpm.keywords, E38)), _xlpm.keywords, "")
)</f>
        <v/>
      </c>
      <c r="D38" s="5">
        <f>_xlfn.XLOOKUP($C38,舞种配比!$B$2:$B$91,舞种配比!$C$2:$C$91,"")</f>
        <v/>
      </c>
      <c r="E38" s="9" t="n"/>
      <c r="F38" s="62" t="n"/>
      <c r="G38" s="74" t="n">
        <v>0</v>
      </c>
      <c r="H38" s="120" t="n">
        <v>3</v>
      </c>
      <c r="I38" s="76">
        <f>$I37+TIME(0,0,15)+$F38</f>
        <v/>
      </c>
      <c r="J38" s="65">
        <f>"ren """ &amp; E38 &amp; """ """ &amp; TEXT(ROW(A37),"00") &amp; "-" &amp; LEFT(E38,FIND(".",E38)-1) &amp; MID(E38,FIND(".",E38),LEN(E38)) &amp; """"</f>
        <v/>
      </c>
    </row>
    <row r="39">
      <c r="A39" s="4">
        <f>ROW()-1</f>
        <v/>
      </c>
      <c r="B39" s="4">
        <f>_xlfn.XLOOKUP($C39,舞种配比!$B$2:$B$91,舞种配比!$A$2:$A$91,"")</f>
        <v/>
      </c>
      <c r="C39" s="15">
        <f t="array" ref="C39">_xlfn.LET(
   _xlpm.keywords, _xlfn.SORTBY(舞种配比!$B$2:$B$50, LEN(舞种配比!$B$2:$B$50), -1),
   _xlfn.XLOOKUP(TRUE, ISNUMBER(SEARCH(_xlpm.keywords, E39)), _xlpm.keywords, "")
)</f>
        <v/>
      </c>
      <c r="D39" s="5">
        <f>_xlfn.XLOOKUP($C39,舞种配比!$B$2:$B$91,舞种配比!$C$2:$C$91,"")</f>
        <v/>
      </c>
      <c r="E39" s="4" t="n"/>
      <c r="F39" s="62" t="n"/>
      <c r="G39" s="74" t="n">
        <v>0</v>
      </c>
      <c r="H39" s="120" t="n">
        <v>3</v>
      </c>
      <c r="I39" s="76">
        <f>$I38+TIME(0,0,15)+$F39</f>
        <v/>
      </c>
      <c r="J39" s="65">
        <f>"ren """ &amp; E39 &amp; """ """ &amp; TEXT(ROW(A38),"00") &amp; "-" &amp; LEFT(E39,FIND(".",E39)-1) &amp; MID(E39,FIND(".",E39),LEN(E39)) &amp; """"</f>
        <v/>
      </c>
    </row>
    <row r="40">
      <c r="A40" s="4">
        <f>ROW()-1</f>
        <v/>
      </c>
      <c r="B40" s="4">
        <f>_xlfn.XLOOKUP($C40,舞种配比!$B$2:$B$91,舞种配比!$A$2:$A$91,"")</f>
        <v/>
      </c>
      <c r="C40" s="15">
        <f t="array" ref="C40">_xlfn.LET(
   _xlpm.keywords, _xlfn.SORTBY(舞种配比!$B$2:$B$50, LEN(舞种配比!$B$2:$B$50), -1),
   _xlfn.XLOOKUP(TRUE, ISNUMBER(SEARCH(_xlpm.keywords, E40)), _xlpm.keywords, "")
)</f>
        <v/>
      </c>
      <c r="D40" s="5">
        <f>_xlfn.XLOOKUP($C40,舞种配比!$B$2:$B$91,舞种配比!$C$2:$C$91,"")</f>
        <v/>
      </c>
      <c r="E40" s="4" t="n"/>
      <c r="F40" s="62" t="n"/>
      <c r="G40" s="74" t="n">
        <v>0</v>
      </c>
      <c r="H40" s="120" t="n">
        <v>3</v>
      </c>
      <c r="I40" s="76">
        <f>$I39+TIME(0,0,15)+$F40</f>
        <v/>
      </c>
      <c r="J40" s="65">
        <f>"ren """ &amp; E40 &amp; """ """ &amp; TEXT(ROW(A39),"00") &amp; "-" &amp; LEFT(E40,FIND(".",E40)-1) &amp; MID(E40,FIND(".",E40),LEN(E40)) &amp; """"</f>
        <v/>
      </c>
    </row>
    <row r="41">
      <c r="A41" s="4">
        <f>ROW()-1</f>
        <v/>
      </c>
      <c r="B41" s="4">
        <f>_xlfn.XLOOKUP($C41,舞种配比!$B$2:$B$91,舞种配比!$A$2:$A$91,"")</f>
        <v/>
      </c>
      <c r="C41" s="15">
        <f t="array" ref="C41">_xlfn.LET(
   _xlpm.keywords, _xlfn.SORTBY(舞种配比!$B$2:$B$50, LEN(舞种配比!$B$2:$B$50), -1),
   _xlfn.XLOOKUP(TRUE, ISNUMBER(SEARCH(_xlpm.keywords, E41)), _xlpm.keywords, "")
)</f>
        <v/>
      </c>
      <c r="D41" s="8">
        <f>_xlfn.XLOOKUP($C41,舞种配比!$B$2:$B$91,舞种配比!$C$2:$C$91,"")</f>
        <v/>
      </c>
      <c r="E41" s="4" t="n"/>
      <c r="F41" s="62" t="n"/>
      <c r="G41" s="74" t="n">
        <v>0</v>
      </c>
      <c r="H41" s="120" t="n">
        <v>3</v>
      </c>
      <c r="I41" s="76">
        <f>$I40+TIME(0,0,15)+$F41</f>
        <v/>
      </c>
      <c r="J41" s="65">
        <f>"ren """ &amp; E41 &amp; """ """ &amp; TEXT(ROW(A40),"00") &amp; "-" &amp; LEFT(E41,FIND(".",E41)-1) &amp; MID(E41,FIND(".",E41),LEN(E41)) &amp; """"</f>
        <v/>
      </c>
    </row>
    <row r="42">
      <c r="A42" s="4">
        <f>ROW()-1</f>
        <v/>
      </c>
      <c r="B42" s="4">
        <f>_xlfn.XLOOKUP($C42,舞种配比!$B$2:$B$91,舞种配比!$A$2:$A$91,"")</f>
        <v/>
      </c>
      <c r="C42" s="15">
        <f t="array" ref="C42">_xlfn.LET(
   _xlpm.keywords, _xlfn.SORTBY(舞种配比!$B$2:$B$50, LEN(舞种配比!$B$2:$B$50), -1),
   _xlfn.XLOOKUP(TRUE, ISNUMBER(SEARCH(_xlpm.keywords, E42)), _xlpm.keywords, "")
)</f>
        <v/>
      </c>
      <c r="D42" s="5">
        <f>_xlfn.XLOOKUP($C42,舞种配比!$B$2:$B$91,舞种配比!$C$2:$C$91,"")</f>
        <v/>
      </c>
      <c r="E42" s="4" t="n"/>
      <c r="F42" s="62" t="n"/>
      <c r="G42" s="74" t="n">
        <v>0</v>
      </c>
      <c r="H42" s="120" t="n">
        <v>3</v>
      </c>
      <c r="I42" s="76">
        <f>$I41+TIME(0,0,15)+$F42</f>
        <v/>
      </c>
      <c r="J42" s="65">
        <f>"ren """ &amp; E42 &amp; """ """ &amp; TEXT(ROW(A41),"00") &amp; "-" &amp; LEFT(E42,FIND(".",E42)-1) &amp; MID(E42,FIND(".",E42),LEN(E42)) &amp; """"</f>
        <v/>
      </c>
    </row>
    <row r="43">
      <c r="A43" s="4">
        <f>ROW()-1</f>
        <v/>
      </c>
      <c r="B43" s="4">
        <f>_xlfn.XLOOKUP($C43,舞种配比!$B$2:$B$91,舞种配比!$A$2:$A$91,"")</f>
        <v/>
      </c>
      <c r="C43" s="15">
        <f t="array" ref="C43">_xlfn.LET(
   _xlpm.keywords, _xlfn.SORTBY(舞种配比!$B$2:$B$50, LEN(舞种配比!$B$2:$B$50), -1),
   _xlfn.XLOOKUP(TRUE, ISNUMBER(SEARCH(_xlpm.keywords, E43)), _xlpm.keywords, "")
)</f>
        <v/>
      </c>
      <c r="D43" s="5">
        <f>_xlfn.XLOOKUP($C43,舞种配比!$B$2:$B$91,舞种配比!$C$2:$C$91,"")</f>
        <v/>
      </c>
      <c r="E43" s="9" t="n"/>
      <c r="F43" s="62" t="n"/>
      <c r="G43" s="74" t="n">
        <v>0</v>
      </c>
      <c r="H43" s="120" t="n">
        <v>3</v>
      </c>
      <c r="I43" s="76">
        <f>$I42+TIME(0,0,15)+$F43</f>
        <v/>
      </c>
      <c r="J43" s="65">
        <f>"ren """ &amp; E43 &amp; """ """ &amp; TEXT(ROW(A42),"00") &amp; "-" &amp; LEFT(E43,FIND(".",E43)-1) &amp; MID(E43,FIND(".",E43),LEN(E43)) &amp; """"</f>
        <v/>
      </c>
    </row>
    <row r="44">
      <c r="A44" s="4">
        <f>ROW()-1</f>
        <v/>
      </c>
      <c r="B44" s="4">
        <f>_xlfn.XLOOKUP($C44,舞种配比!$B$2:$B$91,舞种配比!$A$2:$A$91,"")</f>
        <v/>
      </c>
      <c r="C44" s="15">
        <f t="array" ref="C44">_xlfn.LET(
   _xlpm.keywords, _xlfn.SORTBY(舞种配比!$B$2:$B$50, LEN(舞种配比!$B$2:$B$50), -1),
   _xlfn.XLOOKUP(TRUE, ISNUMBER(SEARCH(_xlpm.keywords, E44)), _xlpm.keywords, "")
)</f>
        <v/>
      </c>
      <c r="D44" s="7">
        <f>_xlfn.XLOOKUP($C44,舞种配比!$B$2:$B$91,舞种配比!$C$2:$C$91,"")</f>
        <v/>
      </c>
      <c r="E44" s="9" t="n"/>
      <c r="F44" s="62" t="n"/>
      <c r="G44" s="74" t="n">
        <v>0</v>
      </c>
      <c r="H44" s="120" t="n">
        <v>3</v>
      </c>
      <c r="I44" s="76">
        <f>$I43+TIME(0,0,15)+$F44</f>
        <v/>
      </c>
      <c r="J44" s="65">
        <f>"ren """ &amp; E44 &amp; """ """ &amp; TEXT(ROW(A43),"00") &amp; "-" &amp; LEFT(E44,FIND(".",E44)-1) &amp; MID(E44,FIND(".",E44),LEN(E44)) &amp; """"</f>
        <v/>
      </c>
    </row>
    <row r="45">
      <c r="A45" s="4">
        <f>ROW()-1</f>
        <v/>
      </c>
      <c r="B45" s="4">
        <f>_xlfn.XLOOKUP($C45,舞种配比!$B$2:$B$91,舞种配比!$A$2:$A$91,"")</f>
        <v/>
      </c>
      <c r="C45" s="15">
        <f t="array" ref="C45">_xlfn.LET(
   _xlpm.keywords, _xlfn.SORTBY(舞种配比!$B$2:$B$50, LEN(舞种配比!$B$2:$B$50), -1),
   _xlfn.XLOOKUP(TRUE, ISNUMBER(SEARCH(_xlpm.keywords, E45)), _xlpm.keywords, "")
)</f>
        <v/>
      </c>
      <c r="D45" s="7">
        <f>_xlfn.XLOOKUP($C45,舞种配比!$B$2:$B$91,舞种配比!$C$2:$C$91,"")</f>
        <v/>
      </c>
      <c r="E45" s="9" t="n"/>
      <c r="F45" s="62" t="n"/>
      <c r="G45" s="74" t="n">
        <v>0</v>
      </c>
      <c r="H45" s="120" t="n">
        <v>3</v>
      </c>
      <c r="I45" s="76">
        <f>$I44+TIME(0,0,15)+$F45</f>
        <v/>
      </c>
      <c r="J45" s="65">
        <f>"ren """ &amp; E45 &amp; """ """ &amp; TEXT(ROW(A44),"00") &amp; "-" &amp; LEFT(E45,FIND(".",E45)-1) &amp; MID(E45,FIND(".",E45),LEN(E45)) &amp; """"</f>
        <v/>
      </c>
    </row>
    <row r="46">
      <c r="A46" s="4">
        <f>ROW()-1</f>
        <v/>
      </c>
      <c r="B46" s="4">
        <f>_xlfn.XLOOKUP($C46,舞种配比!$B$2:$B$91,舞种配比!$A$2:$A$91,"")</f>
        <v/>
      </c>
      <c r="C46" s="15">
        <f t="array" ref="C46">_xlfn.LET(
   _xlpm.keywords, _xlfn.SORTBY(舞种配比!$B$2:$B$50, LEN(舞种配比!$B$2:$B$50), -1),
   _xlfn.XLOOKUP(TRUE, ISNUMBER(SEARCH(_xlpm.keywords, E46)), _xlpm.keywords, "")
)</f>
        <v/>
      </c>
      <c r="D46" s="5">
        <f>_xlfn.XLOOKUP($C46,舞种配比!$B$2:$B$91,舞种配比!$C$2:$C$91,"")</f>
        <v/>
      </c>
      <c r="E46" s="4" t="n"/>
      <c r="F46" s="62" t="n"/>
      <c r="G46" s="74" t="n">
        <v>0</v>
      </c>
      <c r="H46" s="120" t="n">
        <v>3</v>
      </c>
      <c r="I46" s="76">
        <f>$I45+TIME(0,0,15)+$F46</f>
        <v/>
      </c>
      <c r="J46" s="65">
        <f>"ren """ &amp; E46 &amp; """ """ &amp; TEXT(ROW(A45),"00") &amp; "-" &amp; LEFT(E46,FIND(".",E46)-1) &amp; MID(E46,FIND(".",E46),LEN(E46)) &amp; """"</f>
        <v/>
      </c>
    </row>
    <row r="47">
      <c r="A47" s="4">
        <f>ROW()-1</f>
        <v/>
      </c>
      <c r="B47" s="4">
        <f>_xlfn.XLOOKUP($C47,舞种配比!$B$2:$B$91,舞种配比!$A$2:$A$91,"")</f>
        <v/>
      </c>
      <c r="C47" s="15">
        <f t="array" ref="C47">_xlfn.LET(
   _xlpm.keywords, _xlfn.SORTBY(舞种配比!$B$2:$B$50, LEN(舞种配比!$B$2:$B$50), -1),
   _xlfn.XLOOKUP(TRUE, ISNUMBER(SEARCH(_xlpm.keywords, E47)), _xlpm.keywords, "")
)</f>
        <v/>
      </c>
      <c r="D47" s="5">
        <f>_xlfn.XLOOKUP($C47,舞种配比!$B$2:$B$91,舞种配比!$C$2:$C$91,"")</f>
        <v/>
      </c>
      <c r="E47" s="4" t="n"/>
      <c r="F47" s="62" t="n"/>
      <c r="G47" s="74" t="n">
        <v>0</v>
      </c>
      <c r="H47" s="120" t="n">
        <v>3</v>
      </c>
      <c r="I47" s="76">
        <f>$I46+TIME(0,0,15)+$F47</f>
        <v/>
      </c>
      <c r="J47" s="65">
        <f>"ren """ &amp; E47 &amp; """ """ &amp; TEXT(ROW(A46),"00") &amp; "-" &amp; LEFT(E47,FIND(".",E47)-1) &amp; MID(E47,FIND(".",E47),LEN(E47)) &amp; """"</f>
        <v/>
      </c>
    </row>
    <row r="48">
      <c r="A48" s="4">
        <f>ROW()-1</f>
        <v/>
      </c>
      <c r="B48" s="4">
        <f>_xlfn.XLOOKUP($C48,舞种配比!$B$2:$B$91,舞种配比!$A$2:$A$91,"")</f>
        <v/>
      </c>
      <c r="C48" s="15">
        <f t="array" ref="C48">_xlfn.LET(
   _xlpm.keywords, _xlfn.SORTBY(舞种配比!$B$2:$B$50, LEN(舞种配比!$B$2:$B$50), -1),
   _xlfn.XLOOKUP(TRUE, ISNUMBER(SEARCH(_xlpm.keywords, E48)), _xlpm.keywords, "")
)</f>
        <v/>
      </c>
      <c r="D48" s="5">
        <f>_xlfn.XLOOKUP($C48,舞种配比!$B$2:$B$91,舞种配比!$C$2:$C$91,"")</f>
        <v/>
      </c>
      <c r="E48" s="9" t="n"/>
      <c r="F48" s="62" t="n"/>
      <c r="G48" s="74" t="n">
        <v>0</v>
      </c>
      <c r="H48" s="120" t="n">
        <v>3</v>
      </c>
      <c r="I48" s="76">
        <f>$I47+TIME(0,0,15)+$F48</f>
        <v/>
      </c>
      <c r="J48" s="65">
        <f>"ren """ &amp; E48 &amp; """ """ &amp; TEXT(ROW(A47),"00") &amp; "-" &amp; LEFT(E48,FIND(".",E48)-1) &amp; MID(E48,FIND(".",E48),LEN(E48)) &amp; """"</f>
        <v/>
      </c>
    </row>
    <row r="49">
      <c r="A49" s="4">
        <f>ROW()-1</f>
        <v/>
      </c>
      <c r="B49" s="4">
        <f>_xlfn.XLOOKUP($C49,舞种配比!$B$2:$B$91,舞种配比!$A$2:$A$91,"")</f>
        <v/>
      </c>
      <c r="C49" s="15">
        <f t="array" ref="C49">_xlfn.LET(
   _xlpm.keywords, _xlfn.SORTBY(舞种配比!$B$2:$B$50, LEN(舞种配比!$B$2:$B$50), -1),
   _xlfn.XLOOKUP(TRUE, ISNUMBER(SEARCH(_xlpm.keywords, E49)), _xlpm.keywords, "")
)</f>
        <v/>
      </c>
      <c r="D49" s="5">
        <f>_xlfn.XLOOKUP($C49,舞种配比!$B$2:$B$91,舞种配比!$C$2:$C$91,"")</f>
        <v/>
      </c>
      <c r="E49" s="9" t="n"/>
      <c r="F49" s="62" t="n"/>
      <c r="G49" s="74" t="n">
        <v>0</v>
      </c>
      <c r="H49" s="120" t="n">
        <v>3</v>
      </c>
      <c r="I49" s="76">
        <f>$I48+TIME(0,0,15)+$F49</f>
        <v/>
      </c>
      <c r="J49" s="65">
        <f>"ren """ &amp; E49 &amp; """ """ &amp; TEXT(ROW(A48),"00") &amp; "-" &amp; LEFT(E49,FIND(".",E49)-1) &amp; MID(E49,FIND(".",E49),LEN(E49)) &amp; """"</f>
        <v/>
      </c>
    </row>
    <row r="50">
      <c r="A50" s="4">
        <f>ROW()-1</f>
        <v/>
      </c>
      <c r="B50" s="4">
        <f>_xlfn.XLOOKUP($C50,舞种配比!$B$2:$B$91,舞种配比!$A$2:$A$91,"")</f>
        <v/>
      </c>
      <c r="C50" s="15">
        <f t="array" ref="C50">_xlfn.LET(
   _xlpm.keywords, _xlfn.SORTBY(舞种配比!$B$2:$B$50, LEN(舞种配比!$B$2:$B$50), -1),
   _xlfn.XLOOKUP(TRUE, ISNUMBER(SEARCH(_xlpm.keywords, E50)), _xlpm.keywords, "")
)</f>
        <v/>
      </c>
      <c r="D50" s="8">
        <f>_xlfn.XLOOKUP($C50,舞种配比!$B$2:$B$91,舞种配比!$C$2:$C$91,"")</f>
        <v/>
      </c>
      <c r="E50" s="7" t="n"/>
      <c r="F50" s="62" t="n"/>
      <c r="G50" s="74" t="n">
        <v>0</v>
      </c>
      <c r="H50" s="120" t="n">
        <v>3</v>
      </c>
      <c r="I50" s="76">
        <f>$I49+TIME(0,0,15)+$F50</f>
        <v/>
      </c>
      <c r="J50" s="65">
        <f>"ren """ &amp; E50 &amp; """ """ &amp; TEXT(ROW(A49),"00") &amp; "-" &amp; LEFT(E50,FIND(".",E50)-1) &amp; MID(E50,FIND(".",E50),LEN(E50)) &amp; """"</f>
        <v/>
      </c>
    </row>
    <row r="51">
      <c r="A51" s="4">
        <f>ROW()-1</f>
        <v/>
      </c>
      <c r="B51" s="4">
        <f>_xlfn.XLOOKUP($C51,舞种配比!$B$2:$B$91,舞种配比!$A$2:$A$91,"")</f>
        <v/>
      </c>
      <c r="C51" s="15">
        <f t="array" ref="C51">_xlfn.LET(
   _xlpm.keywords, _xlfn.SORTBY(舞种配比!$B$2:$B$50, LEN(舞种配比!$B$2:$B$50), -1),
   _xlfn.XLOOKUP(TRUE, ISNUMBER(SEARCH(_xlpm.keywords, E51)), _xlpm.keywords, "")
)</f>
        <v/>
      </c>
      <c r="D51" s="8">
        <f>_xlfn.XLOOKUP($C51,舞种配比!$B$2:$B$91,舞种配比!$C$2:$C$91,"")</f>
        <v/>
      </c>
      <c r="E51" s="8" t="n"/>
      <c r="F51" s="62" t="n"/>
      <c r="G51" s="74" t="n">
        <v>0</v>
      </c>
      <c r="H51" s="120" t="n">
        <v>3</v>
      </c>
      <c r="I51" s="76">
        <f>$I50+TIME(0,0,15)+$F51</f>
        <v/>
      </c>
      <c r="J51" s="65">
        <f>"ren """ &amp; E51 &amp; """ """ &amp; TEXT(ROW(A50),"00") &amp; "-" &amp; LEFT(E51,FIND(".",E51)-1) &amp; MID(E51,FIND(".",E51),LEN(E51)) &amp; """"</f>
        <v/>
      </c>
    </row>
    <row r="52">
      <c r="A52" s="4">
        <f>ROW()-1</f>
        <v/>
      </c>
      <c r="B52" s="4">
        <f>_xlfn.XLOOKUP($C52,舞种配比!$B$2:$B$91,舞种配比!$A$2:$A$91,"")</f>
        <v/>
      </c>
      <c r="C52" s="15">
        <f t="array" ref="C52">_xlfn.LET(
   _xlpm.keywords, _xlfn.SORTBY(舞种配比!$B$2:$B$50, LEN(舞种配比!$B$2:$B$50), -1),
   _xlfn.XLOOKUP(TRUE, ISNUMBER(SEARCH(_xlpm.keywords, E52)), _xlpm.keywords, "")
)</f>
        <v/>
      </c>
      <c r="D52" s="5">
        <f>_xlfn.XLOOKUP($C52,舞种配比!$B$2:$B$91,舞种配比!$C$2:$C$91,"")</f>
        <v/>
      </c>
      <c r="E52" s="9" t="n"/>
      <c r="F52" s="67" t="n"/>
      <c r="G52" s="74" t="n">
        <v>0</v>
      </c>
      <c r="H52" s="120" t="n"/>
      <c r="J52" s="65">
        <f>"ren """ &amp; E52 &amp; """ """ &amp; TEXT(ROW(A51),"00") &amp; "-" &amp; LEFT(E52,FIND(".",E52)-1) &amp; MID(E52,FIND(".",E52),LEN(E52)) &amp; """"</f>
        <v/>
      </c>
    </row>
    <row r="53" ht="15.4" customHeight="1" s="116">
      <c r="A53" s="63" t="n"/>
      <c r="B53" s="63">
        <f>_xlfn.XLOOKUP($C53,舞种配比!$B$2:$B$91,舞种配比!$A$2:$A$91,"")</f>
        <v/>
      </c>
      <c r="C53" s="64" t="inlineStr">
        <is>
          <t>散场音乐</t>
        </is>
      </c>
      <c r="D53" s="64">
        <f>_xlfn.XLOOKUP($C53,舞种配比!$B$2:$B$91,舞种配比!$C$2:$C$91,"")</f>
        <v/>
      </c>
      <c r="E53" s="66" t="n"/>
      <c r="F53" s="68">
        <f>SUM(F2:F52)</f>
        <v/>
      </c>
      <c r="G53" s="69">
        <f>COUNTA(E:E)-1</f>
        <v/>
      </c>
      <c r="H53" s="70">
        <f t="array" ref="H53">_xlfn.LET(
    _xlpm.总分钟, SUMPRODUCT((H2:H52&lt;&gt;"") * H2:H52 + (H2:H52="") * (HOUR(F2:F52)*60 + MINUTE(F2:F52) + SECOND(F2:F52)/60)),
    _xlpm.小时, INT(_xlpm.总分钟/60),
    _xlpm.分钟, INT(MOD(_xlpm.总分钟,60)),
    IF(_xlpm.小时&gt;0, _xlpm.小时 &amp; "小时" &amp; _xlpm.分钟 &amp; "分钟", _xlpm.分钟 &amp; "分钟")
)</f>
        <v/>
      </c>
    </row>
    <row r="54">
      <c r="F54" s="71" t="inlineStr">
        <is>
          <t>原总时长</t>
        </is>
      </c>
      <c r="G54" s="72" t="inlineStr">
        <is>
          <t>舞曲数</t>
        </is>
      </c>
      <c r="H54" s="72" t="inlineStr">
        <is>
          <t>终总时长</t>
        </is>
      </c>
    </row>
  </sheetData>
  <conditionalFormatting sqref="A1:H52">
    <cfRule type="expression" priority="4" dxfId="10">
      <formula>(CELL("row")=ROW())+(CELL("col")=COLUMN())</formula>
    </cfRule>
  </conditionalFormatting>
  <conditionalFormatting sqref="B2:B100">
    <cfRule type="containsText" priority="8" operator="containsText" dxfId="10" text="网红舞">
      <formula>NOT(ISERROR(SEARCH("网红舞",B2)))</formula>
    </cfRule>
    <cfRule type="containsText" priority="9" operator="containsText" dxfId="9" text="集体舞">
      <formula>NOT(ISERROR(SEARCH("集体舞",B2)))</formula>
    </cfRule>
    <cfRule type="containsText" priority="10" operator="containsText" dxfId="8" text="交谊舞">
      <formula>NOT(ISERROR(SEARCH("交谊舞",B2)))</formula>
    </cfRule>
    <cfRule type="containsText" priority="11" operator="containsText" dxfId="7" text="地方舞">
      <formula>NOT(ISERROR(SEARCH("地方舞",B2)))</formula>
    </cfRule>
    <cfRule type="containsText" priority="12" operator="containsText" dxfId="6" text="拉丁舞">
      <formula>NOT(ISERROR(SEARCH("拉丁舞",B2)))</formula>
    </cfRule>
    <cfRule type="containsText" priority="13" operator="containsText" dxfId="5" text="摩登舞">
      <formula>NOT(ISERROR(SEARCH("摩登舞",B2)))</formula>
    </cfRule>
  </conditionalFormatting>
  <conditionalFormatting sqref="D2:D100">
    <cfRule type="containsText" priority="14" operator="containsText" dxfId="4" text="快">
      <formula>NOT(ISERROR(SEARCH("快",D2)))</formula>
    </cfRule>
    <cfRule type="containsText" priority="15" operator="containsText" dxfId="3" text="中">
      <formula>NOT(ISERROR(SEARCH("中",D2)))</formula>
    </cfRule>
    <cfRule type="containsText" priority="16" operator="containsText" dxfId="2" text="慢">
      <formula>NOT(ISERROR(SEARCH("慢",D2)))</formula>
    </cfRule>
  </conditionalFormatting>
  <conditionalFormatting sqref="F2:F52 F54:F99">
    <cfRule type="expression" priority="6" dxfId="1">
      <formula>AND(F2&lt;&gt;"", F2&gt;TIME(0,4,30))</formula>
    </cfRule>
    <cfRule type="expression" priority="7" dxfId="0">
      <formula>AND(F2&lt;&gt;"", F2&lt;TIME(0,2,0))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FangHan Zhu</dc:creator>
  <dcterms:created xsi:type="dcterms:W3CDTF">2026-05-03T02:06:53Z</dcterms:created>
  <dcterms:modified xsi:type="dcterms:W3CDTF">2026-08-13T07:58:22Z</dcterms:modified>
  <cp:lastModifiedBy>FangHan Zhu</cp:lastModifiedBy>
</cp:coreProperties>
</file>