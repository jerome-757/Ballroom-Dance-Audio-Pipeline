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erome\git\Ballroom-Dance-Audio-Pipeline\"/>
    </mc:Choice>
  </mc:AlternateContent>
  <xr:revisionPtr revIDLastSave="0" documentId="13_ncr:1_{B1541715-0389-4491-80FF-3041D0E0077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舞种配比" sheetId="1" r:id="rId1"/>
    <sheet name="条件记录" sheetId="2" r:id="rId2"/>
    <sheet name="排布结果" sheetId="3" r:id="rId3"/>
    <sheet name="排列检查" sheetId="4" r:id="rId4"/>
    <sheet name="完整曲序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5" l="1" a="1"/>
  <c r="H53" i="5" s="1"/>
  <c r="G53" i="5"/>
  <c r="F53" i="5"/>
  <c r="D53" i="5"/>
  <c r="B53" i="5"/>
  <c r="J52" i="5"/>
  <c r="C52" i="5" a="1"/>
  <c r="C52" i="5" s="1"/>
  <c r="A52" i="5"/>
  <c r="J51" i="5"/>
  <c r="C51" i="5" a="1"/>
  <c r="C51" i="5" s="1"/>
  <c r="A51" i="5"/>
  <c r="J50" i="5"/>
  <c r="C50" i="5" a="1"/>
  <c r="C50" i="5" s="1"/>
  <c r="A50" i="5"/>
  <c r="J49" i="5"/>
  <c r="C49" i="5" a="1"/>
  <c r="C49" i="5" s="1"/>
  <c r="A49" i="5"/>
  <c r="J48" i="5"/>
  <c r="C48" i="5" a="1"/>
  <c r="C48" i="5" s="1"/>
  <c r="A48" i="5"/>
  <c r="J47" i="5"/>
  <c r="C47" i="5" a="1"/>
  <c r="C47" i="5" s="1"/>
  <c r="A47" i="5"/>
  <c r="J46" i="5"/>
  <c r="C46" i="5" a="1"/>
  <c r="C46" i="5" s="1"/>
  <c r="A46" i="5"/>
  <c r="J45" i="5"/>
  <c r="C45" i="5" a="1"/>
  <c r="C45" i="5" s="1"/>
  <c r="A45" i="5"/>
  <c r="J44" i="5"/>
  <c r="C44" i="5" a="1"/>
  <c r="C44" i="5" s="1"/>
  <c r="A44" i="5"/>
  <c r="J43" i="5"/>
  <c r="C43" i="5" a="1"/>
  <c r="C43" i="5"/>
  <c r="D43" i="5" s="1"/>
  <c r="B43" i="5"/>
  <c r="A43" i="5"/>
  <c r="J42" i="5"/>
  <c r="C42" i="5" a="1"/>
  <c r="C42" i="5" s="1"/>
  <c r="A42" i="5"/>
  <c r="J41" i="5"/>
  <c r="C41" i="5" a="1"/>
  <c r="C41" i="5"/>
  <c r="D41" i="5" s="1"/>
  <c r="B41" i="5"/>
  <c r="A41" i="5"/>
  <c r="J40" i="5"/>
  <c r="C40" i="5" a="1"/>
  <c r="C40" i="5" s="1"/>
  <c r="A40" i="5"/>
  <c r="J39" i="5"/>
  <c r="C39" i="5" a="1"/>
  <c r="C39" i="5" s="1"/>
  <c r="A39" i="5"/>
  <c r="J38" i="5"/>
  <c r="C38" i="5" a="1"/>
  <c r="C38" i="5" s="1"/>
  <c r="A38" i="5"/>
  <c r="J37" i="5"/>
  <c r="C37" i="5" a="1"/>
  <c r="C37" i="5" s="1"/>
  <c r="A37" i="5"/>
  <c r="J36" i="5"/>
  <c r="C36" i="5" a="1"/>
  <c r="C36" i="5" s="1"/>
  <c r="A36" i="5"/>
  <c r="J35" i="5"/>
  <c r="C35" i="5" a="1"/>
  <c r="C35" i="5" s="1"/>
  <c r="A35" i="5"/>
  <c r="J34" i="5"/>
  <c r="C34" i="5" a="1"/>
  <c r="C34" i="5" s="1"/>
  <c r="A34" i="5"/>
  <c r="J33" i="5"/>
  <c r="C33" i="5" a="1"/>
  <c r="C33" i="5" s="1"/>
  <c r="A33" i="5"/>
  <c r="J32" i="5"/>
  <c r="C32" i="5" a="1"/>
  <c r="C32" i="5" s="1"/>
  <c r="A32" i="5"/>
  <c r="J31" i="5"/>
  <c r="C31" i="5" a="1"/>
  <c r="C31" i="5" s="1"/>
  <c r="A31" i="5"/>
  <c r="J30" i="5"/>
  <c r="C30" i="5" a="1"/>
  <c r="C30" i="5" s="1"/>
  <c r="A30" i="5"/>
  <c r="J29" i="5"/>
  <c r="C29" i="5" a="1"/>
  <c r="C29" i="5" s="1"/>
  <c r="A29" i="5"/>
  <c r="J28" i="5"/>
  <c r="C28" i="5" a="1"/>
  <c r="C28" i="5"/>
  <c r="D28" i="5" s="1"/>
  <c r="B28" i="5"/>
  <c r="A28" i="5"/>
  <c r="J27" i="5"/>
  <c r="C27" i="5" a="1"/>
  <c r="C27" i="5" s="1"/>
  <c r="A27" i="5"/>
  <c r="J26" i="5"/>
  <c r="C26" i="5" a="1"/>
  <c r="C26" i="5" s="1"/>
  <c r="A26" i="5"/>
  <c r="J25" i="5"/>
  <c r="C25" i="5" a="1"/>
  <c r="C25" i="5" s="1"/>
  <c r="A25" i="5"/>
  <c r="J24" i="5"/>
  <c r="C24" i="5" a="1"/>
  <c r="C24" i="5" s="1"/>
  <c r="A24" i="5"/>
  <c r="J23" i="5"/>
  <c r="C23" i="5" a="1"/>
  <c r="C23" i="5" s="1"/>
  <c r="A23" i="5"/>
  <c r="J22" i="5"/>
  <c r="C22" i="5" a="1"/>
  <c r="C22" i="5" s="1"/>
  <c r="A22" i="5"/>
  <c r="J21" i="5"/>
  <c r="C21" i="5" a="1"/>
  <c r="C21" i="5" s="1"/>
  <c r="A21" i="5"/>
  <c r="J20" i="5"/>
  <c r="C20" i="5" a="1"/>
  <c r="C20" i="5" s="1"/>
  <c r="A20" i="5"/>
  <c r="J19" i="5"/>
  <c r="C19" i="5" a="1"/>
  <c r="C19" i="5" s="1"/>
  <c r="A19" i="5"/>
  <c r="J18" i="5"/>
  <c r="C18" i="5" a="1"/>
  <c r="C18" i="5" s="1"/>
  <c r="A18" i="5"/>
  <c r="J17" i="5"/>
  <c r="C17" i="5" a="1"/>
  <c r="C17" i="5" s="1"/>
  <c r="A17" i="5"/>
  <c r="J16" i="5"/>
  <c r="C16" i="5" a="1"/>
  <c r="C16" i="5"/>
  <c r="D16" i="5" s="1"/>
  <c r="B16" i="5"/>
  <c r="A16" i="5"/>
  <c r="J15" i="5"/>
  <c r="C15" i="5" a="1"/>
  <c r="C15" i="5" s="1"/>
  <c r="A15" i="5"/>
  <c r="J14" i="5"/>
  <c r="C14" i="5" a="1"/>
  <c r="C14" i="5" s="1"/>
  <c r="A14" i="5"/>
  <c r="J13" i="5"/>
  <c r="C13" i="5" a="1"/>
  <c r="C13" i="5" s="1"/>
  <c r="A13" i="5"/>
  <c r="J12" i="5"/>
  <c r="C12" i="5" a="1"/>
  <c r="C12" i="5" s="1"/>
  <c r="A12" i="5"/>
  <c r="J11" i="5"/>
  <c r="C11" i="5" a="1"/>
  <c r="C11" i="5" s="1"/>
  <c r="A11" i="5"/>
  <c r="J10" i="5"/>
  <c r="C10" i="5" a="1"/>
  <c r="C10" i="5" s="1"/>
  <c r="A10" i="5"/>
  <c r="J9" i="5"/>
  <c r="C9" i="5" a="1"/>
  <c r="C9" i="5" s="1"/>
  <c r="A9" i="5"/>
  <c r="J8" i="5"/>
  <c r="C8" i="5" a="1"/>
  <c r="C8" i="5" s="1"/>
  <c r="A8" i="5"/>
  <c r="J7" i="5"/>
  <c r="C7" i="5" a="1"/>
  <c r="C7" i="5" s="1"/>
  <c r="A7" i="5"/>
  <c r="J6" i="5"/>
  <c r="C6" i="5" a="1"/>
  <c r="C6" i="5" s="1"/>
  <c r="A6" i="5"/>
  <c r="J5" i="5"/>
  <c r="C5" i="5" a="1"/>
  <c r="C5" i="5" s="1"/>
  <c r="A5" i="5"/>
  <c r="J4" i="5"/>
  <c r="C4" i="5" a="1"/>
  <c r="C4" i="5"/>
  <c r="D4" i="5" s="1"/>
  <c r="B4" i="5"/>
  <c r="A4" i="5"/>
  <c r="J3" i="5"/>
  <c r="C3" i="5" a="1"/>
  <c r="C3" i="5" s="1"/>
  <c r="A3" i="5"/>
  <c r="J2" i="5"/>
  <c r="I2" i="5"/>
  <c r="I3" i="5" s="1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C2" i="5" a="1"/>
  <c r="C2" i="5" s="1"/>
  <c r="A2" i="5"/>
  <c r="F52" i="4" a="1"/>
  <c r="F52" i="4" s="1"/>
  <c r="H52" i="4" s="1"/>
  <c r="D52" i="4"/>
  <c r="G52" i="4" s="1"/>
  <c r="B52" i="4"/>
  <c r="A52" i="4"/>
  <c r="F51" i="4" a="1"/>
  <c r="F51" i="4" s="1"/>
  <c r="H51" i="4" s="1"/>
  <c r="D51" i="4"/>
  <c r="G51" i="4" s="1"/>
  <c r="B51" i="4"/>
  <c r="E50" i="4" s="1"/>
  <c r="A51" i="4"/>
  <c r="F50" i="4" a="1"/>
  <c r="F50" i="4" s="1"/>
  <c r="H50" i="4" s="1"/>
  <c r="D50" i="4"/>
  <c r="G50" i="4" s="1"/>
  <c r="B50" i="4"/>
  <c r="E49" i="4" s="1"/>
  <c r="A50" i="4"/>
  <c r="F49" i="4" a="1"/>
  <c r="F49" i="4" s="1"/>
  <c r="H49" i="4" s="1"/>
  <c r="D49" i="4"/>
  <c r="G49" i="4" s="1"/>
  <c r="B49" i="4"/>
  <c r="E48" i="4" s="1"/>
  <c r="A49" i="4"/>
  <c r="F48" i="4" a="1"/>
  <c r="F48" i="4" s="1"/>
  <c r="H48" i="4" s="1"/>
  <c r="D48" i="4"/>
  <c r="G48" i="4" s="1"/>
  <c r="B48" i="4"/>
  <c r="E47" i="4" s="1"/>
  <c r="A48" i="4"/>
  <c r="F47" i="4" a="1"/>
  <c r="F47" i="4" s="1"/>
  <c r="H47" i="4" s="1"/>
  <c r="D47" i="4"/>
  <c r="G47" i="4" s="1"/>
  <c r="B47" i="4"/>
  <c r="A47" i="4"/>
  <c r="F46" i="4" a="1"/>
  <c r="F46" i="4" s="1"/>
  <c r="H46" i="4" s="1"/>
  <c r="D46" i="4"/>
  <c r="G46" i="4" s="1"/>
  <c r="B46" i="4"/>
  <c r="E46" i="4" s="1"/>
  <c r="A46" i="4"/>
  <c r="F45" i="4" a="1"/>
  <c r="F45" i="4" s="1"/>
  <c r="H45" i="4" s="1"/>
  <c r="D45" i="4"/>
  <c r="B45" i="4"/>
  <c r="A45" i="4"/>
  <c r="H44" i="4"/>
  <c r="G44" i="4"/>
  <c r="F44" i="4" a="1"/>
  <c r="F44" i="4"/>
  <c r="D44" i="4"/>
  <c r="B44" i="4"/>
  <c r="A44" i="4"/>
  <c r="F43" i="4" a="1"/>
  <c r="F43" i="4"/>
  <c r="H43" i="4" s="1"/>
  <c r="D43" i="4"/>
  <c r="G43" i="4" s="1"/>
  <c r="B43" i="4"/>
  <c r="E43" i="4" s="1"/>
  <c r="A43" i="4"/>
  <c r="F42" i="4" a="1"/>
  <c r="F42" i="4"/>
  <c r="H42" i="4" s="1"/>
  <c r="D42" i="4"/>
  <c r="G42" i="4" s="1"/>
  <c r="B42" i="4"/>
  <c r="E42" i="4" s="1"/>
  <c r="A42" i="4"/>
  <c r="F41" i="4" a="1"/>
  <c r="F41" i="4"/>
  <c r="H41" i="4" s="1"/>
  <c r="D41" i="4"/>
  <c r="G41" i="4" s="1"/>
  <c r="B41" i="4"/>
  <c r="E41" i="4" s="1"/>
  <c r="A41" i="4"/>
  <c r="F40" i="4" a="1"/>
  <c r="F40" i="4"/>
  <c r="H40" i="4" s="1"/>
  <c r="D40" i="4"/>
  <c r="G40" i="4" s="1"/>
  <c r="B40" i="4"/>
  <c r="E40" i="4" s="1"/>
  <c r="A40" i="4"/>
  <c r="F39" i="4" a="1"/>
  <c r="F39" i="4"/>
  <c r="H39" i="4" s="1"/>
  <c r="D39" i="4"/>
  <c r="G39" i="4" s="1"/>
  <c r="B39" i="4"/>
  <c r="E39" i="4" s="1"/>
  <c r="A39" i="4"/>
  <c r="F38" i="4" a="1"/>
  <c r="F38" i="4"/>
  <c r="H38" i="4" s="1"/>
  <c r="D38" i="4"/>
  <c r="G38" i="4" s="1"/>
  <c r="B38" i="4"/>
  <c r="E38" i="4" s="1"/>
  <c r="A38" i="4"/>
  <c r="F37" i="4" a="1"/>
  <c r="F37" i="4"/>
  <c r="H37" i="4" s="1"/>
  <c r="D37" i="4"/>
  <c r="G37" i="4" s="1"/>
  <c r="B37" i="4"/>
  <c r="E37" i="4" s="1"/>
  <c r="A37" i="4"/>
  <c r="F36" i="4" a="1"/>
  <c r="F36" i="4"/>
  <c r="H36" i="4" s="1"/>
  <c r="D36" i="4"/>
  <c r="G36" i="4" s="1"/>
  <c r="B36" i="4"/>
  <c r="E36" i="4" s="1"/>
  <c r="A36" i="4"/>
  <c r="F35" i="4" a="1"/>
  <c r="F35" i="4"/>
  <c r="H35" i="4" s="1"/>
  <c r="D35" i="4"/>
  <c r="G35" i="4" s="1"/>
  <c r="B35" i="4"/>
  <c r="E35" i="4" s="1"/>
  <c r="A35" i="4"/>
  <c r="F34" i="4" a="1"/>
  <c r="F34" i="4"/>
  <c r="H34" i="4" s="1"/>
  <c r="D34" i="4"/>
  <c r="G34" i="4" s="1"/>
  <c r="B34" i="4"/>
  <c r="A34" i="4"/>
  <c r="F33" i="4" a="1"/>
  <c r="F33" i="4"/>
  <c r="H33" i="4" s="1"/>
  <c r="D33" i="4"/>
  <c r="G33" i="4" s="1"/>
  <c r="B33" i="4"/>
  <c r="A33" i="4"/>
  <c r="F32" i="4" a="1"/>
  <c r="F32" i="4" s="1"/>
  <c r="H32" i="4" s="1"/>
  <c r="D32" i="4"/>
  <c r="G32" i="4" s="1"/>
  <c r="B32" i="4"/>
  <c r="E32" i="4" s="1"/>
  <c r="A32" i="4"/>
  <c r="F31" i="4" a="1"/>
  <c r="F31" i="4" s="1"/>
  <c r="H31" i="4" s="1"/>
  <c r="D31" i="4"/>
  <c r="G31" i="4" s="1"/>
  <c r="B31" i="4"/>
  <c r="E31" i="4" s="1"/>
  <c r="A31" i="4"/>
  <c r="F30" i="4" a="1"/>
  <c r="F30" i="4" s="1"/>
  <c r="H30" i="4" s="1"/>
  <c r="D30" i="4"/>
  <c r="G30" i="4" s="1"/>
  <c r="B30" i="4"/>
  <c r="E30" i="4" s="1"/>
  <c r="A30" i="4"/>
  <c r="F29" i="4" a="1"/>
  <c r="F29" i="4" s="1"/>
  <c r="H29" i="4" s="1"/>
  <c r="D29" i="4"/>
  <c r="G29" i="4" s="1"/>
  <c r="B29" i="4"/>
  <c r="E29" i="4" s="1"/>
  <c r="A29" i="4"/>
  <c r="F28" i="4" a="1"/>
  <c r="F28" i="4" s="1"/>
  <c r="H28" i="4" s="1"/>
  <c r="D28" i="4"/>
  <c r="G28" i="4" s="1"/>
  <c r="B28" i="4"/>
  <c r="E28" i="4" s="1"/>
  <c r="A28" i="4"/>
  <c r="F27" i="4" a="1"/>
  <c r="F27" i="4" s="1"/>
  <c r="H27" i="4" s="1"/>
  <c r="D27" i="4"/>
  <c r="G27" i="4" s="1"/>
  <c r="B27" i="4"/>
  <c r="E27" i="4" s="1"/>
  <c r="A27" i="4"/>
  <c r="F26" i="4" a="1"/>
  <c r="F26" i="4" s="1"/>
  <c r="H26" i="4" s="1"/>
  <c r="D26" i="4"/>
  <c r="G26" i="4" s="1"/>
  <c r="B26" i="4"/>
  <c r="E26" i="4" s="1"/>
  <c r="A26" i="4"/>
  <c r="F25" i="4" a="1"/>
  <c r="F25" i="4" s="1"/>
  <c r="H25" i="4" s="1"/>
  <c r="D25" i="4"/>
  <c r="G25" i="4" s="1"/>
  <c r="B25" i="4"/>
  <c r="E25" i="4" s="1"/>
  <c r="A25" i="4"/>
  <c r="F24" i="4" a="1"/>
  <c r="F24" i="4" s="1"/>
  <c r="H24" i="4" s="1"/>
  <c r="D24" i="4"/>
  <c r="G24" i="4" s="1"/>
  <c r="B24" i="4"/>
  <c r="E24" i="4" s="1"/>
  <c r="A24" i="4"/>
  <c r="G23" i="4"/>
  <c r="F23" i="4" a="1"/>
  <c r="F23" i="4" s="1"/>
  <c r="H23" i="4" s="1"/>
  <c r="E23" i="4"/>
  <c r="D23" i="4"/>
  <c r="B23" i="4"/>
  <c r="A23" i="4"/>
  <c r="F22" i="4" a="1"/>
  <c r="F22" i="4"/>
  <c r="H22" i="4" s="1"/>
  <c r="D22" i="4"/>
  <c r="G22" i="4" s="1"/>
  <c r="B22" i="4"/>
  <c r="E22" i="4" s="1"/>
  <c r="A22" i="4"/>
  <c r="F21" i="4" a="1"/>
  <c r="F21" i="4"/>
  <c r="H21" i="4" s="1"/>
  <c r="D21" i="4"/>
  <c r="G21" i="4" s="1"/>
  <c r="B21" i="4"/>
  <c r="E21" i="4" s="1"/>
  <c r="A21" i="4"/>
  <c r="F20" i="4" a="1"/>
  <c r="F20" i="4"/>
  <c r="H20" i="4" s="1"/>
  <c r="D20" i="4"/>
  <c r="G20" i="4" s="1"/>
  <c r="B20" i="4"/>
  <c r="E20" i="4" s="1"/>
  <c r="A20" i="4"/>
  <c r="F19" i="4" a="1"/>
  <c r="F19" i="4"/>
  <c r="H19" i="4" s="1"/>
  <c r="D19" i="4"/>
  <c r="G19" i="4" s="1"/>
  <c r="B19" i="4"/>
  <c r="E19" i="4" s="1"/>
  <c r="A19" i="4"/>
  <c r="F18" i="4" a="1"/>
  <c r="F18" i="4"/>
  <c r="H18" i="4" s="1"/>
  <c r="D18" i="4"/>
  <c r="G18" i="4" s="1"/>
  <c r="B18" i="4"/>
  <c r="E18" i="4" s="1"/>
  <c r="A18" i="4"/>
  <c r="F17" i="4" a="1"/>
  <c r="F17" i="4"/>
  <c r="H17" i="4" s="1"/>
  <c r="D17" i="4"/>
  <c r="G17" i="4" s="1"/>
  <c r="B17" i="4"/>
  <c r="A17" i="4"/>
  <c r="F16" i="4" a="1"/>
  <c r="F16" i="4"/>
  <c r="H16" i="4" s="1"/>
  <c r="D16" i="4"/>
  <c r="G16" i="4" s="1"/>
  <c r="B16" i="4"/>
  <c r="E16" i="4" s="1"/>
  <c r="A16" i="4"/>
  <c r="F15" i="4" a="1"/>
  <c r="F15" i="4"/>
  <c r="H15" i="4" s="1"/>
  <c r="D15" i="4"/>
  <c r="G15" i="4" s="1"/>
  <c r="B15" i="4"/>
  <c r="E15" i="4" s="1"/>
  <c r="A15" i="4"/>
  <c r="F14" i="4" a="1"/>
  <c r="F14" i="4"/>
  <c r="H14" i="4" s="1"/>
  <c r="D14" i="4"/>
  <c r="G14" i="4" s="1"/>
  <c r="B14" i="4"/>
  <c r="E14" i="4" s="1"/>
  <c r="A14" i="4"/>
  <c r="F13" i="4" a="1"/>
  <c r="F13" i="4"/>
  <c r="H13" i="4" s="1"/>
  <c r="D13" i="4"/>
  <c r="G13" i="4" s="1"/>
  <c r="B13" i="4"/>
  <c r="A13" i="4"/>
  <c r="G12" i="4"/>
  <c r="F12" i="4" a="1"/>
  <c r="F12" i="4" s="1"/>
  <c r="H12" i="4" s="1"/>
  <c r="D12" i="4"/>
  <c r="B12" i="4"/>
  <c r="A12" i="4"/>
  <c r="F11" i="4" a="1"/>
  <c r="F11" i="4"/>
  <c r="H11" i="4" s="1"/>
  <c r="D11" i="4"/>
  <c r="G11" i="4" s="1"/>
  <c r="B11" i="4"/>
  <c r="E11" i="4" s="1"/>
  <c r="A11" i="4"/>
  <c r="F10" i="4" a="1"/>
  <c r="F10" i="4"/>
  <c r="H10" i="4" s="1"/>
  <c r="D10" i="4"/>
  <c r="G10" i="4" s="1"/>
  <c r="B10" i="4"/>
  <c r="E10" i="4" s="1"/>
  <c r="A10" i="4"/>
  <c r="F9" i="4" a="1"/>
  <c r="F9" i="4" s="1"/>
  <c r="H9" i="4" s="1"/>
  <c r="D9" i="4"/>
  <c r="G9" i="4" s="1"/>
  <c r="B9" i="4"/>
  <c r="E9" i="4" s="1"/>
  <c r="A9" i="4"/>
  <c r="F8" i="4" a="1"/>
  <c r="F8" i="4" s="1"/>
  <c r="H8" i="4" s="1"/>
  <c r="D8" i="4"/>
  <c r="G8" i="4" s="1"/>
  <c r="B8" i="4"/>
  <c r="A8" i="4"/>
  <c r="F7" i="4" a="1"/>
  <c r="F7" i="4"/>
  <c r="H7" i="4" s="1"/>
  <c r="D7" i="4"/>
  <c r="G7" i="4" s="1"/>
  <c r="B7" i="4"/>
  <c r="A7" i="4"/>
  <c r="F6" i="4" a="1"/>
  <c r="F6" i="4"/>
  <c r="H6" i="4" s="1"/>
  <c r="D6" i="4"/>
  <c r="G6" i="4" s="1"/>
  <c r="B6" i="4"/>
  <c r="E6" i="4" s="1"/>
  <c r="A6" i="4"/>
  <c r="F5" i="4" a="1"/>
  <c r="F5" i="4"/>
  <c r="H5" i="4" s="1"/>
  <c r="D5" i="4"/>
  <c r="G5" i="4" s="1"/>
  <c r="B5" i="4"/>
  <c r="E5" i="4" s="1"/>
  <c r="A5" i="4"/>
  <c r="F4" i="4" a="1"/>
  <c r="F4" i="4"/>
  <c r="H4" i="4" s="1"/>
  <c r="D4" i="4"/>
  <c r="G4" i="4" s="1"/>
  <c r="B4" i="4"/>
  <c r="E4" i="4" s="1"/>
  <c r="A4" i="4"/>
  <c r="F3" i="4" a="1"/>
  <c r="F3" i="4"/>
  <c r="H3" i="4" s="1"/>
  <c r="E3" i="4"/>
  <c r="D3" i="4"/>
  <c r="G3" i="4" s="1"/>
  <c r="B3" i="4"/>
  <c r="A3" i="4"/>
  <c r="L2" i="4" a="1"/>
  <c r="L2" i="4" s="1"/>
  <c r="G2" i="4"/>
  <c r="F2" i="4" a="1"/>
  <c r="F2" i="4"/>
  <c r="H2" i="4" s="1"/>
  <c r="E2" i="4"/>
  <c r="D2" i="4"/>
  <c r="B2" i="4"/>
  <c r="A2" i="4"/>
  <c r="B52" i="5" l="1"/>
  <c r="D52" i="5"/>
  <c r="D51" i="5"/>
  <c r="B51" i="5"/>
  <c r="D50" i="5"/>
  <c r="B50" i="5"/>
  <c r="B49" i="5"/>
  <c r="D49" i="5"/>
  <c r="D48" i="5"/>
  <c r="B48" i="5"/>
  <c r="D47" i="5"/>
  <c r="B47" i="5"/>
  <c r="D46" i="5"/>
  <c r="B46" i="5"/>
  <c r="D45" i="5"/>
  <c r="B45" i="5"/>
  <c r="D44" i="5"/>
  <c r="B44" i="5"/>
  <c r="D42" i="5"/>
  <c r="B42" i="5"/>
  <c r="D40" i="5"/>
  <c r="B40" i="5"/>
  <c r="D39" i="5"/>
  <c r="B39" i="5"/>
  <c r="D38" i="5"/>
  <c r="B38" i="5"/>
  <c r="D37" i="5"/>
  <c r="B37" i="5"/>
  <c r="D36" i="5"/>
  <c r="B36" i="5"/>
  <c r="D35" i="5"/>
  <c r="B35" i="5"/>
  <c r="D34" i="5"/>
  <c r="B34" i="5"/>
  <c r="D33" i="5"/>
  <c r="B33" i="5"/>
  <c r="D32" i="5"/>
  <c r="B32" i="5"/>
  <c r="D31" i="5"/>
  <c r="B31" i="5"/>
  <c r="D30" i="5"/>
  <c r="B30" i="5"/>
  <c r="D29" i="5"/>
  <c r="B29" i="5"/>
  <c r="D27" i="5"/>
  <c r="B27" i="5"/>
  <c r="D26" i="5"/>
  <c r="B26" i="5"/>
  <c r="D25" i="5"/>
  <c r="B25" i="5"/>
  <c r="D24" i="5"/>
  <c r="B24" i="5"/>
  <c r="D23" i="5"/>
  <c r="B23" i="5"/>
  <c r="D22" i="5"/>
  <c r="B22" i="5"/>
  <c r="D21" i="5"/>
  <c r="B21" i="5"/>
  <c r="D20" i="5"/>
  <c r="B20" i="5"/>
  <c r="D19" i="5"/>
  <c r="B19" i="5"/>
  <c r="D18" i="5"/>
  <c r="B18" i="5"/>
  <c r="D17" i="5"/>
  <c r="B17" i="5"/>
  <c r="B15" i="5"/>
  <c r="D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3" i="5"/>
  <c r="B3" i="5"/>
  <c r="D2" i="5"/>
  <c r="B2" i="5"/>
  <c r="E52" i="4"/>
  <c r="E51" i="4"/>
  <c r="G45" i="4"/>
  <c r="L4" i="4"/>
  <c r="E44" i="4"/>
  <c r="S4" i="4"/>
  <c r="O4" i="4"/>
  <c r="E45" i="4"/>
  <c r="Q4" i="4"/>
  <c r="R4" i="4"/>
  <c r="T4" i="4"/>
  <c r="P4" i="4"/>
  <c r="E34" i="4"/>
  <c r="E33" i="4"/>
  <c r="E17" i="4"/>
  <c r="O3" i="4"/>
  <c r="R3" i="4"/>
  <c r="S3" i="4"/>
  <c r="T3" i="4"/>
  <c r="P3" i="4"/>
  <c r="Q3" i="4"/>
  <c r="E13" i="4"/>
  <c r="E12" i="4"/>
  <c r="E7" i="4"/>
  <c r="E8" i="4"/>
  <c r="L5" i="4"/>
  <c r="L6" i="4"/>
  <c r="Q2" i="4"/>
  <c r="P2" i="4"/>
  <c r="O2" i="4"/>
  <c r="T8" i="4"/>
  <c r="O8" i="4"/>
  <c r="Q8" i="4"/>
  <c r="R8" i="4"/>
  <c r="P8" i="4"/>
  <c r="S2" i="4"/>
  <c r="T2" i="4"/>
  <c r="R2" i="4"/>
  <c r="S8" i="4"/>
  <c r="L9" i="4"/>
  <c r="L10" i="4"/>
  <c r="L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FangHan Zhu</author>
  </authors>
  <commentList>
    <comment ref="D1" authorId="0" shapeId="0" xr:uid="{00000000-0006-0000-0000-000001000000}">
      <text>
        <r>
          <rPr>
            <sz val="11"/>
            <color theme="1"/>
            <rFont val="等线"/>
            <family val="2"/>
            <charset val="134"/>
            <scheme val="minor"/>
          </rPr>
          <t>FangHan Zhu:
手动输入数值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FangHan Zhu</author>
  </authors>
  <commentList>
    <comment ref="G1" authorId="0" shapeId="0" xr:uid="{00000000-0006-0000-0100-000001000000}">
      <text>
        <r>
          <rPr>
            <sz val="11"/>
            <color theme="1"/>
            <rFont val="等线"/>
            <family val="2"/>
            <charset val="134"/>
            <scheme val="minor"/>
          </rPr>
          <t>FangHan Zhu:
此项输出记录已设置关闭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FangHan Zhu</author>
  </authors>
  <commentList>
    <comment ref="I1" authorId="0" shapeId="0" xr:uid="{00000000-0006-0000-0300-000001000000}">
      <text>
        <r>
          <rPr>
            <sz val="11"/>
            <color theme="1"/>
            <rFont val="等线"/>
            <family val="2"/>
            <charset val="134"/>
            <scheme val="minor"/>
          </rPr>
          <t>FangHan Zhu:
此列用来做判断和显示用，不能删除！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FangHan Zhu</author>
  </authors>
  <commentList>
    <comment ref="E1" authorId="0" shapeId="0" xr:uid="{00000000-0006-0000-0400-000001000000}">
      <text>
        <r>
          <rPr>
            <sz val="11"/>
            <color theme="1"/>
            <rFont val="等线"/>
            <family val="2"/>
            <charset val="134"/>
            <scheme val="minor"/>
          </rPr>
          <t>FangHan Zhu:
歌曲名里必须要包含《舞种名》</t>
        </r>
      </text>
    </comment>
    <comment ref="G1" authorId="0" shapeId="0" xr:uid="{00000000-0006-0000-0400-000002000000}">
      <text>
        <r>
          <rPr>
            <sz val="11"/>
            <color theme="1"/>
            <rFont val="等线"/>
            <family val="2"/>
            <charset val="134"/>
            <scheme val="minor"/>
          </rPr>
          <t>FangHan Zhu:
从歌曲第几秒开始裁剪</t>
        </r>
      </text>
    </comment>
  </commentList>
</comments>
</file>

<file path=xl/sharedStrings.xml><?xml version="1.0" encoding="utf-8"?>
<sst xmlns="http://schemas.openxmlformats.org/spreadsheetml/2006/main" count="391" uniqueCount="192">
  <si>
    <t>生成时间</t>
  </si>
  <si>
    <t>尝试次数</t>
  </si>
  <si>
    <t>结果列名</t>
  </si>
  <si>
    <t>固定位置</t>
  </si>
  <si>
    <t>舞种间隔</t>
  </si>
  <si>
    <t>应用规则</t>
  </si>
  <si>
    <t>功能配置</t>
  </si>
  <si>
    <t>08月13日15时19分</t>
  </si>
  <si>
    <t>A</t>
  </si>
  <si>
    <t>1=慢四，20=DJ，45=华尔兹</t>
  </si>
  <si>
    <t>间隔3首</t>
  </si>
  <si>
    <t>同舞种间隔、大类不连续三次、节奏约束</t>
  </si>
  <si>
    <t>A:标题 + 艺术家 + 专辑；B:320k CBR 并发2；C:淡入0.1s 淡出5.0s；D:时长8s 音量0.2 位置middle</t>
  </si>
  <si>
    <t>08月15日00时54分</t>
  </si>
  <si>
    <t>B</t>
  </si>
  <si>
    <t>无固定位置</t>
  </si>
  <si>
    <t>间隔6首</t>
  </si>
  <si>
    <t>同舞种间隔</t>
  </si>
  <si>
    <t>大类</t>
  </si>
  <si>
    <t>舞种</t>
  </si>
  <si>
    <t>节奏</t>
  </si>
  <si>
    <t>数量</t>
  </si>
  <si>
    <t>节拍</t>
  </si>
  <si>
    <t>BPM范围</t>
  </si>
  <si>
    <t>小节个数</t>
  </si>
  <si>
    <t>风格定位</t>
  </si>
  <si>
    <t>曲目建议</t>
  </si>
  <si>
    <t>摩登舞</t>
  </si>
  <si>
    <t>华尔兹</t>
  </si>
  <si>
    <t>慢</t>
  </si>
  <si>
    <t>3/4</t>
  </si>
  <si>
    <t>28-30小节/分</t>
  </si>
  <si>
    <t>优雅开场/收尾</t>
  </si>
  <si>
    <t>《》《》《》</t>
  </si>
  <si>
    <t>维也纳华尔兹</t>
  </si>
  <si>
    <t>快</t>
  </si>
  <si>
    <t>56-60小节/分</t>
  </si>
  <si>
    <t>高速旋转、刺激</t>
  </si>
  <si>
    <t>探戈</t>
  </si>
  <si>
    <t>中</t>
  </si>
  <si>
    <t>2/4</t>
  </si>
  <si>
    <t>30-34小节/分</t>
  </si>
  <si>
    <t>顿挫有力</t>
  </si>
  <si>
    <t>狐步</t>
  </si>
  <si>
    <t>4/4</t>
  </si>
  <si>
    <t>飘逸流畅</t>
  </si>
  <si>
    <t>快步</t>
  </si>
  <si>
    <t>50-52小节/分</t>
  </si>
  <si>
    <t>轻快跳跃</t>
  </si>
  <si>
    <t>拉丁舞</t>
  </si>
  <si>
    <t>伦巴</t>
  </si>
  <si>
    <t>27-29小节/分</t>
  </si>
  <si>
    <t>缠绵抒情</t>
  </si>
  <si>
    <t>恰恰</t>
  </si>
  <si>
    <t>30-32小节/分</t>
  </si>
  <si>
    <t>欢快俏皮</t>
  </si>
  <si>
    <t>桑巴</t>
  </si>
  <si>
    <t>52-54小节/分</t>
  </si>
  <si>
    <t>热情弹动</t>
  </si>
  <si>
    <t>牛仔</t>
  </si>
  <si>
    <t>42-44小节/分</t>
  </si>
  <si>
    <t>活泼跳跃</t>
  </si>
  <si>
    <t>斗牛</t>
  </si>
  <si>
    <t>60-62小节/分</t>
  </si>
  <si>
    <t>气势磅礴</t>
  </si>
  <si>
    <t>地方舞</t>
  </si>
  <si>
    <t>三步踩</t>
  </si>
  <si>
    <t>88-96</t>
  </si>
  <si>
    <t>44-48小节/分</t>
  </si>
  <si>
    <t>动作潇洒、花样繁多</t>
  </si>
  <si>
    <t>《山谷里的思念》《酒醉的蝴蝶》《又见山里红》</t>
  </si>
  <si>
    <t>平四</t>
  </si>
  <si>
    <t>欢快、活泼、流畅</t>
  </si>
  <si>
    <t>《又见山里红》《动起来舞起来》《爱在身上留下了伤》</t>
  </si>
  <si>
    <t>交谊舞</t>
  </si>
  <si>
    <t>慢三</t>
  </si>
  <si>
    <t>84-105</t>
  </si>
  <si>
    <t>28-35小节/分</t>
  </si>
  <si>
    <t>高贵典雅、舒展流畅</t>
  </si>
  <si>
    <t>《友谊天长地久》《山楂树》《情醉桃花源》</t>
  </si>
  <si>
    <t>慢四</t>
  </si>
  <si>
    <t>104-124</t>
  </si>
  <si>
    <t>26-31小节/分</t>
  </si>
  <si>
    <t>端庄平稳、舒展优雅</t>
  </si>
  <si>
    <t>《陪你一起看草原》《爱是你我》《又见山里红》</t>
  </si>
  <si>
    <t>并四</t>
  </si>
  <si>
    <t>84-92</t>
  </si>
  <si>
    <t>42-46小节/分</t>
  </si>
  <si>
    <t>轻盈、优雅、流畅</t>
  </si>
  <si>
    <t>《卓玛拉》《久别的人》《为你等待》</t>
  </si>
  <si>
    <t>水兵舞</t>
  </si>
  <si>
    <t>136-152</t>
  </si>
  <si>
    <t>34-38小节/分</t>
  </si>
  <si>
    <t>轻松活泼，富有朝气</t>
  </si>
  <si>
    <t>《陪你牵手闯天涯》《美极了》《歌在飞》</t>
  </si>
  <si>
    <t>鬼步舞</t>
  </si>
  <si>
    <t>130-150</t>
  </si>
  <si>
    <t>32-38小节/分</t>
  </si>
  <si>
    <t>快速、有力、充满活力</t>
  </si>
  <si>
    <t>《Horizon》《I Can Walk On Water》《Battle 2 The End》</t>
  </si>
  <si>
    <t>吉特巴</t>
  </si>
  <si>
    <t>172-180</t>
  </si>
  <si>
    <t>43-45小节/分</t>
  </si>
  <si>
    <t>轻松活泼，幽默俏皮</t>
  </si>
  <si>
    <t>《可能》《家乡的月亮》《火火的草原火火的爱》</t>
  </si>
  <si>
    <t>点帕斯</t>
  </si>
  <si>
    <t>110-130</t>
  </si>
  <si>
    <t>28-32小节/分</t>
  </si>
  <si>
    <t>热情奔放、开放、洒脱</t>
  </si>
  <si>
    <t>《血染的风采》《罗刹海市》《青城山下白素贞》</t>
  </si>
  <si>
    <t>休闲伦巴</t>
  </si>
  <si>
    <t>88-104</t>
  </si>
  <si>
    <t>22-26小节/分</t>
  </si>
  <si>
    <t>浪漫缠绵</t>
  </si>
  <si>
    <t>《Fairy Tale》《I Finally Found Someone》《Blue Night》</t>
  </si>
  <si>
    <t>中三</t>
  </si>
  <si>
    <t>中四</t>
  </si>
  <si>
    <t>快四</t>
  </si>
  <si>
    <t>集体舞</t>
  </si>
  <si>
    <t>兔子舞</t>
  </si>
  <si>
    <t>140-160</t>
  </si>
  <si>
    <t>35-40小节/分</t>
  </si>
  <si>
    <t>欢快、活泼、趣味性强</t>
  </si>
  <si>
    <t>《Penguin's Game》《Butterfly》《兔子爱吃萝卜》</t>
  </si>
  <si>
    <t>十六步</t>
  </si>
  <si>
    <t>三十二步</t>
  </si>
  <si>
    <t>110-140</t>
  </si>
  <si>
    <t>58-81小节/分</t>
  </si>
  <si>
    <t>规整套路和迪斯科式的身体律动</t>
  </si>
  <si>
    <t>《Brother Louie》《独一无二》《坐上火车去拉萨》</t>
  </si>
  <si>
    <t>DJ</t>
  </si>
  <si>
    <t>节奏强劲、动感十足</t>
  </si>
  <si>
    <t>《Brother Louie》《The Middle》《狂浪》</t>
  </si>
  <si>
    <t>网红舞</t>
  </si>
  <si>
    <t>汉舞</t>
  </si>
  <si>
    <t>舞姿柔媚、浪漫迷人</t>
  </si>
  <si>
    <t>《见与不见》《情醉黄鹤楼》《》</t>
  </si>
  <si>
    <t>唐舞</t>
  </si>
  <si>
    <t>周舞</t>
  </si>
  <si>
    <t>表演</t>
  </si>
  <si>
    <t>—</t>
  </si>
  <si>
    <t>培训师示范或嘉宾表演</t>
  </si>
  <si>
    <t>序号</t>
  </si>
  <si>
    <t>大类相邻</t>
  </si>
  <si>
    <t>节奏检查</t>
  </si>
  <si>
    <t>前次行号</t>
  </si>
  <si>
    <t>前次间隔</t>
  </si>
  <si>
    <t>统计项</t>
  </si>
  <si>
    <t>值</t>
  </si>
  <si>
    <t>区间统计</t>
  </si>
  <si>
    <t>总数量</t>
  </si>
  <si>
    <t>1-15</t>
  </si>
  <si>
    <t>16-30</t>
  </si>
  <si>
    <t>慢舞</t>
  </si>
  <si>
    <t>31-50</t>
  </si>
  <si>
    <t>中速</t>
  </si>
  <si>
    <t>快舞</t>
  </si>
  <si>
    <t>相邻错误</t>
  </si>
  <si>
    <t>大类统计</t>
  </si>
  <si>
    <t>间隔错误</t>
  </si>
  <si>
    <t>节奏错误</t>
  </si>
  <si>
    <t>排布逻辑</t>
  </si>
  <si>
    <t>0.每首平均按三分钟计算，两个半小时限排50首。</t>
  </si>
  <si>
    <t>1. 首尾均为华尔兹。</t>
  </si>
  <si>
    <t>第一首和最后一首必须为摩登舞-华尔兹（慢）。</t>
  </si>
  <si>
    <t>2. 集体舞放在中段，且互相间隔足够。</t>
  </si>
  <si>
    <t>集体舞（三十二步、DJ）全部放在位置约16–30之间；两个集体舞之间至少隔开3首（位置差 ≥ 4）。</t>
  </si>
  <si>
    <t>3. 数量多的舞种优先分散，单首舞种最后均匀插入。</t>
  </si>
  <si>
    <t>除集体舞外，数量多的舞种（如华尔兹、伦巴、慢四等）优先均匀分散在整单中；数量为1的舞种（如探戈）最后插入到剩余空位中，尽量均匀。</t>
  </si>
  <si>
    <t>4. 大类不连续三次。</t>
  </si>
  <si>
    <t>任意连续3首的“大类”不能完全相同（即不能出现连续3首摩登舞、或连续3首拉丁舞等）。</t>
  </si>
  <si>
    <t>5. 同舞种间隔 ≥ 6 个位置（即至少隔开5首）。</t>
  </si>
  <si>
    <t>同一个舞种（如华尔兹）任意两次出现的位置差必须 ≥ 6。</t>
  </si>
  <si>
    <t>6. 节奏以慢快交替为主，中速均匀穿插在快慢之间。</t>
  </si>
  <si>
    <t>此处“节奏”指慢、快、中三种速度。具体要求如下：</t>
  </si>
  <si>
    <t>中速是万能缓冲，可以当作“慢”来用，也可以当作“快”来配合交替；</t>
  </si>
  <si>
    <t>整体节奏结构类似于：快-中-慢-快-中-慢…… 或 慢-中-快-慢-中-快……，即快与慢尽量交替，中速作为过渡穿插其间；</t>
  </si>
  <si>
    <t>中速允许连续出现，但不超过连续2次（即不能出现"中-中-中"三连）；</t>
  </si>
  <si>
    <t>当“快”的数量明显多于“慢”时，允许出现少量连续的“快-快”；当“慢”的数量明显多于“快”时，允许出现少量连续的“慢-慢”。其余情况下尽量保持快慢交替。</t>
  </si>
  <si>
    <t>7. 大类均匀分布。</t>
  </si>
  <si>
    <t>除开集体舞外，将每个大类（摩登舞、拉丁舞、地方舞、交谊舞）在整单的前段、中段、后段各出现约1/3次数。</t>
  </si>
  <si>
    <t>8. 舞种排列要杂乱无规律。</t>
  </si>
  <si>
    <t>整单舞种顺序没有可识别的固定周期或规律性，给人随机、自然的感觉。</t>
  </si>
  <si>
    <t>歌曲名</t>
  </si>
  <si>
    <t>时长</t>
  </si>
  <si>
    <t>开始时间</t>
  </si>
  <si>
    <t>裁剪后时长</t>
  </si>
  <si>
    <t>重命名</t>
  </si>
  <si>
    <t>散场音乐</t>
  </si>
  <si>
    <t>原总时长</t>
  </si>
  <si>
    <t>舞曲数</t>
  </si>
  <si>
    <t>终总时长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</si>
</sst>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6"/>
      <color theme="1"/>
      <name val="Segoe UI"/>
      <family val="2"/>
    </font>
    <font>
      <sz val="6"/>
      <color theme="1"/>
      <name val="Segoe UI"/>
      <family val="2"/>
    </font>
    <font>
      <sz val="6"/>
      <color theme="1"/>
      <name val="Segoe UI"/>
      <family val="2"/>
    </font>
    <font>
      <u/>
      <sz val="11"/>
      <color theme="10"/>
      <name val="等线"/>
      <family val="2"/>
      <charset val="134"/>
      <scheme val="minor"/>
    </font>
    <font>
      <b/>
      <sz val="10"/>
      <color theme="1"/>
      <name val="Segoe UI"/>
      <family val="2"/>
    </font>
    <font>
      <b/>
      <sz val="10"/>
      <color theme="1"/>
      <name val="等线"/>
      <family val="2"/>
      <charset val="134"/>
      <scheme val="minor"/>
    </font>
    <font>
      <sz val="6"/>
      <color theme="1"/>
      <name val="宋体"/>
      <family val="2"/>
      <charset val="134"/>
    </font>
    <font>
      <sz val="6"/>
      <color theme="1"/>
      <name val="微软雅黑"/>
      <family val="2"/>
      <charset val="134"/>
    </font>
    <font>
      <sz val="6"/>
      <color theme="1"/>
      <name val="宋体"/>
      <family val="3"/>
      <charset val="134"/>
    </font>
    <font>
      <b/>
      <sz val="10"/>
      <color theme="1"/>
      <name val="微软雅黑"/>
      <family val="2"/>
      <charset val="134"/>
    </font>
    <font>
      <sz val="6"/>
      <color rgb="FF0F1115"/>
      <name val="Segoe UI"/>
      <family val="2"/>
    </font>
    <font>
      <sz val="6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6"/>
      <color rgb="FF7030A0"/>
      <name val="Segoe UI"/>
      <family val="2"/>
    </font>
    <font>
      <sz val="10"/>
      <color rgb="FFFF0000"/>
      <name val="Segoe UI"/>
      <family val="2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rgb="FF00B050"/>
      <name val="等线"/>
      <family val="2"/>
      <charset val="134"/>
      <scheme val="minor"/>
    </font>
    <font>
      <sz val="12"/>
      <color rgb="FF00B0F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70C0"/>
      <name val="等线"/>
      <family val="2"/>
      <charset val="134"/>
      <scheme val="minor"/>
    </font>
    <font>
      <sz val="11"/>
      <color rgb="FF0070C0"/>
      <name val="等线"/>
      <family val="3"/>
      <charset val="134"/>
      <scheme val="minor"/>
    </font>
    <font>
      <sz val="11"/>
      <color rgb="FF92D05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rgb="FF7030A0"/>
      <name val="Segoe UI"/>
      <family val="2"/>
    </font>
    <font>
      <sz val="10"/>
      <color theme="1"/>
      <name val="Segoe UI"/>
      <family val="2"/>
    </font>
    <font>
      <sz val="10"/>
      <color rgb="FF7030A0"/>
      <name val="Segoe UI"/>
      <family val="2"/>
    </font>
    <font>
      <sz val="10"/>
      <color theme="1"/>
      <name val="等线"/>
      <family val="2"/>
      <charset val="134"/>
      <scheme val="minor"/>
    </font>
    <font>
      <b/>
      <sz val="12"/>
      <color rgb="FFFF0000"/>
      <name val="华文楷体"/>
      <family val="3"/>
      <charset val="134"/>
    </font>
    <font>
      <b/>
      <sz val="12"/>
      <color rgb="FF00B0F0"/>
      <name val="华文楷体"/>
      <family val="3"/>
      <charset val="134"/>
    </font>
    <font>
      <b/>
      <sz val="12"/>
      <color theme="1"/>
      <name val="华文楷体"/>
      <family val="3"/>
      <charset val="134"/>
    </font>
    <font>
      <b/>
      <sz val="12"/>
      <color rgb="FF7030A0"/>
      <name val="华文楷体"/>
      <family val="3"/>
      <charset val="134"/>
    </font>
    <font>
      <sz val="12"/>
      <color theme="1"/>
      <name val="华文楷体"/>
      <family val="3"/>
      <charset val="134"/>
    </font>
    <font>
      <b/>
      <sz val="10"/>
      <color rgb="FFFF0000"/>
      <name val="Segoe UI"/>
      <family val="2"/>
    </font>
    <font>
      <b/>
      <sz val="10"/>
      <color rgb="FFFF0000"/>
      <name val="等线"/>
      <family val="2"/>
      <charset val="134"/>
      <scheme val="minor"/>
    </font>
    <font>
      <b/>
      <sz val="10"/>
      <color theme="1"/>
      <name val="方正姚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20">
    <xf numFmtId="0" fontId="0" fillId="0" borderId="0" xfId="0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0" fillId="3" borderId="0" xfId="0" applyFill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0" fillId="5" borderId="0" xfId="0" applyFill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2" fillId="6" borderId="0" xfId="0" applyFont="1" applyFill="1">
      <alignment vertical="center"/>
    </xf>
    <xf numFmtId="0" fontId="8" fillId="6" borderId="1" xfId="0" applyFont="1" applyFill="1" applyBorder="1" applyAlignment="1">
      <alignment vertical="center" wrapText="1"/>
    </xf>
    <xf numFmtId="0" fontId="0" fillId="6" borderId="0" xfId="0" applyFill="1">
      <alignment vertical="center"/>
    </xf>
    <xf numFmtId="0" fontId="4" fillId="6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0" fillId="7" borderId="0" xfId="0" applyFill="1">
      <alignment vertical="center"/>
    </xf>
    <xf numFmtId="0" fontId="4" fillId="7" borderId="1" xfId="0" applyFont="1" applyFill="1" applyBorder="1" applyAlignment="1">
      <alignment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3" fillId="8" borderId="2" xfId="0" applyFont="1" applyFill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16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21" fontId="19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1" fontId="0" fillId="0" borderId="0" xfId="0" applyNumberFormat="1">
      <alignment vertical="center"/>
    </xf>
    <xf numFmtId="21" fontId="7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5" fillId="2" borderId="5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5" fillId="7" borderId="6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0" xfId="0" applyFont="1">
      <alignment vertical="center"/>
    </xf>
    <xf numFmtId="0" fontId="30" fillId="0" borderId="4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4" fillId="0" borderId="0" xfId="0" applyFont="1">
      <alignment vertical="center"/>
    </xf>
    <xf numFmtId="0" fontId="0" fillId="9" borderId="0" xfId="0" quotePrefix="1" applyFill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0" fillId="10" borderId="0" xfId="0" applyFill="1">
      <alignment vertical="center"/>
    </xf>
    <xf numFmtId="0" fontId="25" fillId="0" borderId="0" xfId="0" applyFont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37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24">
    <dxf>
      <font>
        <color theme="0" tint="-0.34998626667073579"/>
      </font>
    </dxf>
    <dxf>
      <font>
        <color theme="5" tint="-0.24994659260841701"/>
      </font>
    </dxf>
    <dxf>
      <font>
        <color theme="4"/>
      </font>
    </dxf>
    <dxf>
      <font>
        <color theme="9"/>
      </font>
    </dxf>
    <dxf>
      <font>
        <color rgb="FFFF0000"/>
      </font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4"/>
      </font>
    </dxf>
    <dxf>
      <font>
        <color theme="9"/>
      </font>
    </dxf>
    <dxf>
      <font>
        <color rgb="FFFF0000"/>
      </font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50"/>
  <sheetViews>
    <sheetView zoomScale="145" zoomScaleNormal="145" workbookViewId="0">
      <pane ySplit="1" topLeftCell="A2" activePane="bottomLeft" state="frozen"/>
      <selection pane="bottomLeft" activeCell="G37" sqref="G37"/>
    </sheetView>
  </sheetViews>
  <sheetFormatPr defaultRowHeight="13.9" x14ac:dyDescent="0.4"/>
  <cols>
    <col min="1" max="1" width="8.19921875" style="6" bestFit="1" customWidth="1"/>
    <col min="2" max="2" width="8.1328125" style="6" bestFit="1" customWidth="1"/>
    <col min="3" max="3" width="8.1328125" style="6" customWidth="1"/>
    <col min="4" max="5" width="5.33203125" style="6" customWidth="1"/>
    <col min="6" max="6" width="8.3984375" style="6" bestFit="1" customWidth="1"/>
    <col min="7" max="7" width="8.3984375" style="6" customWidth="1"/>
    <col min="8" max="8" width="16.33203125" style="116" customWidth="1"/>
    <col min="9" max="9" width="65.1328125" style="116" customWidth="1"/>
  </cols>
  <sheetData>
    <row r="1" spans="1:9" s="3" customFormat="1" ht="15.4" customHeight="1" x14ac:dyDescent="0.4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</row>
    <row r="2" spans="1:9" s="21" customFormat="1" ht="15.4" customHeight="1" x14ac:dyDescent="0.4">
      <c r="A2" s="16" t="s">
        <v>27</v>
      </c>
      <c r="B2" s="16" t="s">
        <v>28</v>
      </c>
      <c r="C2" s="16" t="s">
        <v>29</v>
      </c>
      <c r="D2" s="108">
        <v>3</v>
      </c>
      <c r="E2" s="17" t="s">
        <v>30</v>
      </c>
      <c r="F2" s="18"/>
      <c r="G2" s="16" t="s">
        <v>31</v>
      </c>
      <c r="H2" s="19" t="s">
        <v>32</v>
      </c>
      <c r="I2" s="20" t="s">
        <v>33</v>
      </c>
    </row>
    <row r="3" spans="1:9" s="21" customFormat="1" ht="15.4" customHeight="1" x14ac:dyDescent="0.4">
      <c r="A3" s="16" t="s">
        <v>27</v>
      </c>
      <c r="B3" s="16" t="s">
        <v>34</v>
      </c>
      <c r="C3" s="16" t="s">
        <v>35</v>
      </c>
      <c r="D3" s="108">
        <v>2</v>
      </c>
      <c r="E3" s="17" t="s">
        <v>30</v>
      </c>
      <c r="F3" s="18"/>
      <c r="G3" s="22" t="s">
        <v>36</v>
      </c>
      <c r="H3" s="23" t="s">
        <v>37</v>
      </c>
      <c r="I3" s="20" t="s">
        <v>33</v>
      </c>
    </row>
    <row r="4" spans="1:9" s="21" customFormat="1" ht="15.4" customHeight="1" x14ac:dyDescent="0.4">
      <c r="A4" s="16" t="s">
        <v>27</v>
      </c>
      <c r="B4" s="16" t="s">
        <v>38</v>
      </c>
      <c r="C4" s="16" t="s">
        <v>39</v>
      </c>
      <c r="D4" s="108">
        <v>1</v>
      </c>
      <c r="E4" s="17" t="s">
        <v>40</v>
      </c>
      <c r="F4" s="18"/>
      <c r="G4" s="22" t="s">
        <v>41</v>
      </c>
      <c r="H4" s="19" t="s">
        <v>42</v>
      </c>
      <c r="I4" s="20" t="s">
        <v>33</v>
      </c>
    </row>
    <row r="5" spans="1:9" s="21" customFormat="1" ht="15.4" customHeight="1" x14ac:dyDescent="0.4">
      <c r="A5" s="16" t="s">
        <v>27</v>
      </c>
      <c r="B5" s="16" t="s">
        <v>43</v>
      </c>
      <c r="C5" s="16" t="s">
        <v>29</v>
      </c>
      <c r="D5" s="108">
        <v>1</v>
      </c>
      <c r="E5" s="17" t="s">
        <v>44</v>
      </c>
      <c r="F5" s="18"/>
      <c r="G5" s="16" t="s">
        <v>31</v>
      </c>
      <c r="H5" s="19" t="s">
        <v>45</v>
      </c>
      <c r="I5" s="20" t="s">
        <v>33</v>
      </c>
    </row>
    <row r="6" spans="1:9" s="21" customFormat="1" ht="15.4" customHeight="1" x14ac:dyDescent="0.4">
      <c r="A6" s="16" t="s">
        <v>27</v>
      </c>
      <c r="B6" s="16" t="s">
        <v>46</v>
      </c>
      <c r="C6" s="16" t="s">
        <v>35</v>
      </c>
      <c r="D6" s="108">
        <v>1</v>
      </c>
      <c r="E6" s="17" t="s">
        <v>44</v>
      </c>
      <c r="F6" s="18"/>
      <c r="G6" s="22" t="s">
        <v>47</v>
      </c>
      <c r="H6" s="19" t="s">
        <v>48</v>
      </c>
      <c r="I6" s="20" t="s">
        <v>33</v>
      </c>
    </row>
    <row r="7" spans="1:9" s="30" customFormat="1" ht="15.4" customHeight="1" x14ac:dyDescent="0.4">
      <c r="A7" s="24" t="s">
        <v>49</v>
      </c>
      <c r="B7" s="24" t="s">
        <v>50</v>
      </c>
      <c r="C7" s="24" t="s">
        <v>29</v>
      </c>
      <c r="D7" s="109">
        <v>4</v>
      </c>
      <c r="E7" s="25" t="s">
        <v>44</v>
      </c>
      <c r="F7" s="26"/>
      <c r="G7" s="27" t="s">
        <v>51</v>
      </c>
      <c r="H7" s="28" t="s">
        <v>52</v>
      </c>
      <c r="I7" s="29" t="s">
        <v>33</v>
      </c>
    </row>
    <row r="8" spans="1:9" s="30" customFormat="1" ht="15.4" customHeight="1" x14ac:dyDescent="0.4">
      <c r="A8" s="24" t="s">
        <v>49</v>
      </c>
      <c r="B8" s="24" t="s">
        <v>53</v>
      </c>
      <c r="C8" s="24" t="s">
        <v>35</v>
      </c>
      <c r="D8" s="109">
        <v>3</v>
      </c>
      <c r="E8" s="25" t="s">
        <v>44</v>
      </c>
      <c r="F8" s="26"/>
      <c r="G8" s="24" t="s">
        <v>54</v>
      </c>
      <c r="H8" s="28" t="s">
        <v>55</v>
      </c>
      <c r="I8" s="29" t="s">
        <v>33</v>
      </c>
    </row>
    <row r="9" spans="1:9" s="30" customFormat="1" ht="15.4" customHeight="1" x14ac:dyDescent="0.4">
      <c r="A9" s="24" t="s">
        <v>49</v>
      </c>
      <c r="B9" s="24" t="s">
        <v>56</v>
      </c>
      <c r="C9" s="24" t="s">
        <v>35</v>
      </c>
      <c r="D9" s="109">
        <v>2</v>
      </c>
      <c r="E9" s="25" t="s">
        <v>40</v>
      </c>
      <c r="F9" s="26"/>
      <c r="G9" s="27" t="s">
        <v>57</v>
      </c>
      <c r="H9" s="28" t="s">
        <v>58</v>
      </c>
      <c r="I9" s="29" t="s">
        <v>33</v>
      </c>
    </row>
    <row r="10" spans="1:9" s="30" customFormat="1" ht="15.4" customHeight="1" x14ac:dyDescent="0.4">
      <c r="A10" s="24" t="s">
        <v>49</v>
      </c>
      <c r="B10" s="24" t="s">
        <v>59</v>
      </c>
      <c r="C10" s="24" t="s">
        <v>35</v>
      </c>
      <c r="D10" s="109">
        <v>1</v>
      </c>
      <c r="E10" s="25" t="s">
        <v>44</v>
      </c>
      <c r="F10" s="26"/>
      <c r="G10" s="27" t="s">
        <v>60</v>
      </c>
      <c r="H10" s="28" t="s">
        <v>61</v>
      </c>
      <c r="I10" s="29" t="s">
        <v>33</v>
      </c>
    </row>
    <row r="11" spans="1:9" s="30" customFormat="1" ht="15.4" customHeight="1" x14ac:dyDescent="0.4">
      <c r="A11" s="24" t="s">
        <v>49</v>
      </c>
      <c r="B11" s="24" t="s">
        <v>62</v>
      </c>
      <c r="C11" s="24" t="s">
        <v>39</v>
      </c>
      <c r="D11" s="109">
        <v>1</v>
      </c>
      <c r="E11" s="25" t="s">
        <v>40</v>
      </c>
      <c r="F11" s="26"/>
      <c r="G11" s="27" t="s">
        <v>63</v>
      </c>
      <c r="H11" s="28" t="s">
        <v>64</v>
      </c>
      <c r="I11" s="29" t="s">
        <v>33</v>
      </c>
    </row>
    <row r="12" spans="1:9" s="36" customFormat="1" ht="15.4" customHeight="1" x14ac:dyDescent="0.4">
      <c r="A12" s="31" t="s">
        <v>65</v>
      </c>
      <c r="B12" s="31" t="s">
        <v>66</v>
      </c>
      <c r="C12" s="31" t="s">
        <v>39</v>
      </c>
      <c r="D12" s="110">
        <v>2</v>
      </c>
      <c r="E12" s="32" t="s">
        <v>40</v>
      </c>
      <c r="F12" s="33" t="s">
        <v>67</v>
      </c>
      <c r="G12" s="34" t="s">
        <v>68</v>
      </c>
      <c r="H12" s="35" t="s">
        <v>69</v>
      </c>
      <c r="I12" s="35" t="s">
        <v>70</v>
      </c>
    </row>
    <row r="13" spans="1:9" s="36" customFormat="1" ht="15.4" customHeight="1" x14ac:dyDescent="0.4">
      <c r="A13" s="31" t="s">
        <v>65</v>
      </c>
      <c r="B13" s="31" t="s">
        <v>71</v>
      </c>
      <c r="C13" s="31" t="s">
        <v>39</v>
      </c>
      <c r="D13" s="110">
        <v>2</v>
      </c>
      <c r="E13" s="32" t="s">
        <v>40</v>
      </c>
      <c r="F13" s="33" t="s">
        <v>67</v>
      </c>
      <c r="G13" s="34" t="s">
        <v>68</v>
      </c>
      <c r="H13" s="35" t="s">
        <v>72</v>
      </c>
      <c r="I13" s="35" t="s">
        <v>73</v>
      </c>
    </row>
    <row r="14" spans="1:9" s="43" customFormat="1" ht="15.4" customHeight="1" x14ac:dyDescent="0.4">
      <c r="A14" s="37" t="s">
        <v>74</v>
      </c>
      <c r="B14" s="37" t="s">
        <v>75</v>
      </c>
      <c r="C14" s="37" t="s">
        <v>29</v>
      </c>
      <c r="D14" s="111">
        <v>3</v>
      </c>
      <c r="E14" s="38" t="s">
        <v>30</v>
      </c>
      <c r="F14" s="39" t="s">
        <v>76</v>
      </c>
      <c r="G14" s="40" t="s">
        <v>77</v>
      </c>
      <c r="H14" s="41" t="s">
        <v>78</v>
      </c>
      <c r="I14" s="42" t="s">
        <v>79</v>
      </c>
    </row>
    <row r="15" spans="1:9" s="43" customFormat="1" ht="15.4" customHeight="1" x14ac:dyDescent="0.4">
      <c r="A15" s="37" t="s">
        <v>74</v>
      </c>
      <c r="B15" s="37" t="s">
        <v>80</v>
      </c>
      <c r="C15" s="37" t="s">
        <v>29</v>
      </c>
      <c r="D15" s="111">
        <v>3</v>
      </c>
      <c r="E15" s="38" t="s">
        <v>44</v>
      </c>
      <c r="F15" s="39" t="s">
        <v>81</v>
      </c>
      <c r="G15" s="40" t="s">
        <v>82</v>
      </c>
      <c r="H15" s="41" t="s">
        <v>83</v>
      </c>
      <c r="I15" s="42" t="s">
        <v>84</v>
      </c>
    </row>
    <row r="16" spans="1:9" s="43" customFormat="1" ht="15.4" customHeight="1" x14ac:dyDescent="0.4">
      <c r="A16" s="37" t="s">
        <v>74</v>
      </c>
      <c r="B16" s="44" t="s">
        <v>85</v>
      </c>
      <c r="C16" s="44" t="s">
        <v>39</v>
      </c>
      <c r="D16" s="111">
        <v>1</v>
      </c>
      <c r="E16" s="38" t="s">
        <v>40</v>
      </c>
      <c r="F16" s="39" t="s">
        <v>86</v>
      </c>
      <c r="G16" s="40" t="s">
        <v>87</v>
      </c>
      <c r="H16" s="42" t="s">
        <v>88</v>
      </c>
      <c r="I16" s="42" t="s">
        <v>89</v>
      </c>
    </row>
    <row r="17" spans="1:9" s="43" customFormat="1" ht="15.4" customHeight="1" x14ac:dyDescent="0.4">
      <c r="A17" s="37" t="s">
        <v>74</v>
      </c>
      <c r="B17" s="44" t="s">
        <v>90</v>
      </c>
      <c r="C17" s="44" t="s">
        <v>39</v>
      </c>
      <c r="D17" s="111">
        <v>1</v>
      </c>
      <c r="E17" s="38" t="s">
        <v>44</v>
      </c>
      <c r="F17" s="39" t="s">
        <v>91</v>
      </c>
      <c r="G17" s="40" t="s">
        <v>92</v>
      </c>
      <c r="H17" s="42" t="s">
        <v>93</v>
      </c>
      <c r="I17" s="42" t="s">
        <v>94</v>
      </c>
    </row>
    <row r="18" spans="1:9" s="43" customFormat="1" ht="15.4" customHeight="1" x14ac:dyDescent="0.4">
      <c r="A18" s="37" t="s">
        <v>74</v>
      </c>
      <c r="B18" s="44" t="s">
        <v>95</v>
      </c>
      <c r="C18" s="44" t="s">
        <v>35</v>
      </c>
      <c r="D18" s="111">
        <v>1</v>
      </c>
      <c r="E18" s="38" t="s">
        <v>44</v>
      </c>
      <c r="F18" s="39" t="s">
        <v>96</v>
      </c>
      <c r="G18" s="40" t="s">
        <v>97</v>
      </c>
      <c r="H18" s="42" t="s">
        <v>98</v>
      </c>
      <c r="I18" s="42" t="s">
        <v>99</v>
      </c>
    </row>
    <row r="19" spans="1:9" s="43" customFormat="1" ht="15.4" customHeight="1" x14ac:dyDescent="0.4">
      <c r="A19" s="37" t="s">
        <v>74</v>
      </c>
      <c r="B19" s="44" t="s">
        <v>100</v>
      </c>
      <c r="C19" s="44" t="s">
        <v>39</v>
      </c>
      <c r="D19" s="111">
        <v>1</v>
      </c>
      <c r="E19" s="38" t="s">
        <v>44</v>
      </c>
      <c r="F19" s="39" t="s">
        <v>101</v>
      </c>
      <c r="G19" s="40" t="s">
        <v>102</v>
      </c>
      <c r="H19" s="42" t="s">
        <v>103</v>
      </c>
      <c r="I19" s="42" t="s">
        <v>104</v>
      </c>
    </row>
    <row r="20" spans="1:9" s="43" customFormat="1" ht="15.4" customHeight="1" x14ac:dyDescent="0.4">
      <c r="A20" s="37" t="s">
        <v>74</v>
      </c>
      <c r="B20" s="44" t="s">
        <v>105</v>
      </c>
      <c r="C20" s="44" t="s">
        <v>39</v>
      </c>
      <c r="D20" s="111">
        <v>1</v>
      </c>
      <c r="E20" s="38" t="s">
        <v>44</v>
      </c>
      <c r="F20" s="39" t="s">
        <v>106</v>
      </c>
      <c r="G20" s="40" t="s">
        <v>107</v>
      </c>
      <c r="H20" s="42" t="s">
        <v>108</v>
      </c>
      <c r="I20" s="42" t="s">
        <v>109</v>
      </c>
    </row>
    <row r="21" spans="1:9" s="43" customFormat="1" ht="15.4" customHeight="1" x14ac:dyDescent="0.4">
      <c r="A21" s="37" t="s">
        <v>74</v>
      </c>
      <c r="B21" s="44" t="s">
        <v>110</v>
      </c>
      <c r="C21" s="44" t="s">
        <v>29</v>
      </c>
      <c r="D21" s="111">
        <v>1</v>
      </c>
      <c r="E21" s="38" t="s">
        <v>44</v>
      </c>
      <c r="F21" s="39" t="s">
        <v>111</v>
      </c>
      <c r="G21" s="40" t="s">
        <v>112</v>
      </c>
      <c r="H21" s="42" t="s">
        <v>113</v>
      </c>
      <c r="I21" s="42" t="s">
        <v>114</v>
      </c>
    </row>
    <row r="22" spans="1:9" s="43" customFormat="1" ht="15.4" customHeight="1" x14ac:dyDescent="0.4">
      <c r="A22" s="37" t="s">
        <v>74</v>
      </c>
      <c r="B22" s="44" t="s">
        <v>115</v>
      </c>
      <c r="C22" s="44" t="s">
        <v>39</v>
      </c>
      <c r="D22" s="111">
        <v>1</v>
      </c>
      <c r="E22" s="38" t="s">
        <v>30</v>
      </c>
      <c r="F22" s="39"/>
      <c r="G22" s="37"/>
      <c r="H22" s="45"/>
      <c r="I22" s="42" t="s">
        <v>33</v>
      </c>
    </row>
    <row r="23" spans="1:9" s="43" customFormat="1" ht="15.4" customHeight="1" x14ac:dyDescent="0.4">
      <c r="A23" s="37" t="s">
        <v>74</v>
      </c>
      <c r="B23" s="44" t="s">
        <v>116</v>
      </c>
      <c r="C23" s="44" t="s">
        <v>39</v>
      </c>
      <c r="D23" s="111">
        <v>1</v>
      </c>
      <c r="E23" s="38" t="s">
        <v>44</v>
      </c>
      <c r="F23" s="39"/>
      <c r="G23" s="37"/>
      <c r="H23" s="45"/>
      <c r="I23" s="42" t="s">
        <v>33</v>
      </c>
    </row>
    <row r="24" spans="1:9" s="43" customFormat="1" ht="15.4" customHeight="1" x14ac:dyDescent="0.4">
      <c r="A24" s="37" t="s">
        <v>74</v>
      </c>
      <c r="B24" s="44" t="s">
        <v>117</v>
      </c>
      <c r="C24" s="37" t="s">
        <v>35</v>
      </c>
      <c r="D24" s="111">
        <v>1</v>
      </c>
      <c r="E24" s="38" t="s">
        <v>44</v>
      </c>
      <c r="F24" s="39"/>
      <c r="G24" s="37"/>
      <c r="H24" s="45"/>
      <c r="I24" s="42" t="s">
        <v>33</v>
      </c>
    </row>
    <row r="25" spans="1:9" s="52" customFormat="1" ht="15.4" customHeight="1" x14ac:dyDescent="0.4">
      <c r="A25" s="46" t="s">
        <v>118</v>
      </c>
      <c r="B25" s="46" t="s">
        <v>119</v>
      </c>
      <c r="C25" s="46" t="s">
        <v>39</v>
      </c>
      <c r="D25" s="112">
        <v>1</v>
      </c>
      <c r="E25" s="47" t="s">
        <v>44</v>
      </c>
      <c r="F25" s="48" t="s">
        <v>120</v>
      </c>
      <c r="G25" s="49" t="s">
        <v>121</v>
      </c>
      <c r="H25" s="50" t="s">
        <v>122</v>
      </c>
      <c r="I25" s="51" t="s">
        <v>123</v>
      </c>
    </row>
    <row r="26" spans="1:9" s="52" customFormat="1" ht="15.4" customHeight="1" x14ac:dyDescent="0.4">
      <c r="A26" s="46" t="s">
        <v>118</v>
      </c>
      <c r="B26" s="46" t="s">
        <v>124</v>
      </c>
      <c r="C26" s="46" t="s">
        <v>39</v>
      </c>
      <c r="D26" s="112">
        <v>1</v>
      </c>
      <c r="E26" s="47"/>
      <c r="F26" s="48"/>
      <c r="G26" s="46"/>
      <c r="H26" s="53"/>
      <c r="I26" s="51" t="s">
        <v>33</v>
      </c>
    </row>
    <row r="27" spans="1:9" s="52" customFormat="1" ht="15.4" customHeight="1" x14ac:dyDescent="0.4">
      <c r="A27" s="46" t="s">
        <v>118</v>
      </c>
      <c r="B27" s="46" t="s">
        <v>125</v>
      </c>
      <c r="C27" s="46" t="s">
        <v>39</v>
      </c>
      <c r="D27" s="112">
        <v>1</v>
      </c>
      <c r="E27" s="47" t="s">
        <v>44</v>
      </c>
      <c r="F27" s="48" t="s">
        <v>126</v>
      </c>
      <c r="G27" s="46" t="s">
        <v>127</v>
      </c>
      <c r="H27" s="51" t="s">
        <v>128</v>
      </c>
      <c r="I27" s="51" t="s">
        <v>129</v>
      </c>
    </row>
    <row r="28" spans="1:9" s="52" customFormat="1" ht="15.4" customHeight="1" x14ac:dyDescent="0.4">
      <c r="A28" s="46" t="s">
        <v>118</v>
      </c>
      <c r="B28" s="49" t="s">
        <v>130</v>
      </c>
      <c r="C28" s="49" t="s">
        <v>39</v>
      </c>
      <c r="D28" s="112">
        <v>1</v>
      </c>
      <c r="E28" s="47"/>
      <c r="F28" s="48"/>
      <c r="G28" s="46"/>
      <c r="H28" s="50" t="s">
        <v>131</v>
      </c>
      <c r="I28" s="51" t="s">
        <v>132</v>
      </c>
    </row>
    <row r="29" spans="1:9" s="60" customFormat="1" ht="15.4" customHeight="1" x14ac:dyDescent="0.4">
      <c r="A29" s="54" t="s">
        <v>133</v>
      </c>
      <c r="B29" s="54" t="s">
        <v>134</v>
      </c>
      <c r="C29" s="54" t="s">
        <v>29</v>
      </c>
      <c r="D29" s="113">
        <v>1</v>
      </c>
      <c r="E29" s="56" t="s">
        <v>44</v>
      </c>
      <c r="F29" s="57" t="s">
        <v>111</v>
      </c>
      <c r="G29" s="58" t="s">
        <v>112</v>
      </c>
      <c r="H29" s="59" t="s">
        <v>135</v>
      </c>
      <c r="I29" s="59" t="s">
        <v>136</v>
      </c>
    </row>
    <row r="30" spans="1:9" s="60" customFormat="1" ht="15.4" customHeight="1" x14ac:dyDescent="0.4">
      <c r="A30" s="54" t="s">
        <v>133</v>
      </c>
      <c r="B30" s="54" t="s">
        <v>137</v>
      </c>
      <c r="C30" s="54" t="s">
        <v>29</v>
      </c>
      <c r="D30" s="113">
        <v>1</v>
      </c>
      <c r="E30" s="56" t="s">
        <v>44</v>
      </c>
      <c r="F30" s="58"/>
      <c r="G30" s="55"/>
      <c r="H30" s="61"/>
      <c r="I30" s="59" t="s">
        <v>33</v>
      </c>
    </row>
    <row r="31" spans="1:9" s="60" customFormat="1" ht="15.4" customHeight="1" x14ac:dyDescent="0.4">
      <c r="A31" s="54" t="s">
        <v>133</v>
      </c>
      <c r="B31" s="54" t="s">
        <v>138</v>
      </c>
      <c r="C31" s="54" t="s">
        <v>29</v>
      </c>
      <c r="D31" s="113">
        <v>1</v>
      </c>
      <c r="E31" s="56" t="s">
        <v>44</v>
      </c>
      <c r="F31" s="58"/>
      <c r="G31" s="55"/>
      <c r="H31" s="61"/>
      <c r="I31" s="59"/>
    </row>
    <row r="32" spans="1:9" ht="15.4" customHeight="1" x14ac:dyDescent="0.4">
      <c r="A32" s="8" t="s">
        <v>139</v>
      </c>
      <c r="B32" s="8"/>
      <c r="C32" s="8"/>
      <c r="D32" s="114">
        <v>0</v>
      </c>
      <c r="E32" s="14"/>
      <c r="F32" s="10" t="s">
        <v>140</v>
      </c>
      <c r="G32" s="5"/>
      <c r="H32" s="1" t="s">
        <v>141</v>
      </c>
      <c r="I32" s="12"/>
    </row>
    <row r="33" spans="4:4" x14ac:dyDescent="0.4">
      <c r="D33" s="115"/>
    </row>
    <row r="34" spans="4:4" x14ac:dyDescent="0.4">
      <c r="D34" s="115"/>
    </row>
    <row r="35" spans="4:4" x14ac:dyDescent="0.4">
      <c r="D35" s="115"/>
    </row>
    <row r="36" spans="4:4" x14ac:dyDescent="0.4">
      <c r="D36" s="115"/>
    </row>
    <row r="37" spans="4:4" x14ac:dyDescent="0.4">
      <c r="D37" s="115"/>
    </row>
    <row r="38" spans="4:4" x14ac:dyDescent="0.4">
      <c r="D38" s="115"/>
    </row>
    <row r="39" spans="4:4" x14ac:dyDescent="0.4">
      <c r="D39" s="115"/>
    </row>
    <row r="40" spans="4:4" x14ac:dyDescent="0.4">
      <c r="D40" s="115"/>
    </row>
    <row r="41" spans="4:4" x14ac:dyDescent="0.4">
      <c r="D41" s="115"/>
    </row>
    <row r="42" spans="4:4" x14ac:dyDescent="0.4">
      <c r="D42" s="115"/>
    </row>
    <row r="43" spans="4:4" x14ac:dyDescent="0.4">
      <c r="D43" s="115"/>
    </row>
    <row r="44" spans="4:4" x14ac:dyDescent="0.4">
      <c r="D44" s="115"/>
    </row>
    <row r="45" spans="4:4" x14ac:dyDescent="0.4">
      <c r="D45" s="115"/>
    </row>
    <row r="46" spans="4:4" x14ac:dyDescent="0.4">
      <c r="D46" s="115"/>
    </row>
    <row r="47" spans="4:4" x14ac:dyDescent="0.4">
      <c r="D47" s="115"/>
    </row>
    <row r="48" spans="4:4" x14ac:dyDescent="0.4">
      <c r="D48" s="115"/>
    </row>
    <row r="49" spans="4:4" x14ac:dyDescent="0.4">
      <c r="D49" s="115"/>
    </row>
    <row r="50" spans="4:4" x14ac:dyDescent="0.4">
      <c r="D50" s="115"/>
    </row>
  </sheetData>
  <phoneticPr fontId="1" type="noConversion"/>
  <conditionalFormatting sqref="D2:D32">
    <cfRule type="dataBar" priority="12">
      <dataBar>
        <cfvo type="min"/>
        <cfvo type="max"/>
        <color rgb="FFFFFF00"/>
      </dataBar>
    </cfRule>
  </conditionalFormatting>
  <dataValidations count="1">
    <dataValidation type="list" allowBlank="1" showInputMessage="1" showErrorMessage="1" sqref="C2:C32" xr:uid="{00000000-0002-0000-0000-000000000000}">
      <formula1>"慢,中,快"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10"/>
  <sheetViews>
    <sheetView tabSelected="1" workbookViewId="0">
      <selection activeCell="E18" sqref="E18"/>
    </sheetView>
  </sheetViews>
  <sheetFormatPr defaultRowHeight="13.9" x14ac:dyDescent="0.4"/>
  <cols>
    <col min="1" max="1" width="17.19921875" style="6" bestFit="1" customWidth="1"/>
    <col min="2" max="2" width="8.796875" style="117" bestFit="1" customWidth="1"/>
    <col min="3" max="3" width="8.796875" style="6" bestFit="1" customWidth="1"/>
    <col min="4" max="4" width="29.59765625" style="118" customWidth="1"/>
    <col min="5" max="5" width="8.796875" style="6" bestFit="1" customWidth="1"/>
    <col min="6" max="6" width="37.3984375" style="116" bestFit="1" customWidth="1"/>
    <col min="7" max="7" width="8.796875" style="116" bestFit="1" customWidth="1"/>
  </cols>
  <sheetData>
    <row r="1" spans="1:7" s="119" customFormat="1" ht="12" customHeight="1" x14ac:dyDescent="0.4">
      <c r="A1" s="119" t="s">
        <v>0</v>
      </c>
      <c r="B1" s="119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</row>
    <row r="2" spans="1:7" x14ac:dyDescent="0.4">
      <c r="A2" t="s">
        <v>7</v>
      </c>
      <c r="B2">
        <v>7300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4">
      <c r="A3" t="s">
        <v>13</v>
      </c>
      <c r="B3">
        <v>63</v>
      </c>
      <c r="C3" t="s">
        <v>14</v>
      </c>
      <c r="D3" t="s">
        <v>15</v>
      </c>
      <c r="E3" t="s">
        <v>16</v>
      </c>
      <c r="F3" t="s">
        <v>17</v>
      </c>
    </row>
    <row r="4" spans="1:7" x14ac:dyDescent="0.4">
      <c r="A4"/>
      <c r="B4"/>
      <c r="C4"/>
      <c r="F4"/>
    </row>
    <row r="5" spans="1:7" x14ac:dyDescent="0.4">
      <c r="A5"/>
      <c r="B5"/>
      <c r="C5"/>
    </row>
    <row r="6" spans="1:7" x14ac:dyDescent="0.4">
      <c r="A6"/>
      <c r="B6"/>
      <c r="C6"/>
    </row>
    <row r="7" spans="1:7" x14ac:dyDescent="0.4">
      <c r="A7"/>
      <c r="B7"/>
      <c r="C7"/>
      <c r="D7"/>
      <c r="E7"/>
      <c r="F7"/>
    </row>
    <row r="8" spans="1:7" x14ac:dyDescent="0.4">
      <c r="A8"/>
      <c r="B8"/>
      <c r="C8"/>
      <c r="D8"/>
      <c r="E8"/>
      <c r="F8"/>
    </row>
    <row r="9" spans="1:7" x14ac:dyDescent="0.4">
      <c r="A9"/>
      <c r="B9"/>
      <c r="C9"/>
      <c r="D9"/>
      <c r="E9"/>
      <c r="F9"/>
    </row>
    <row r="10" spans="1:7" x14ac:dyDescent="0.4">
      <c r="A10"/>
      <c r="B10"/>
      <c r="C10"/>
      <c r="D10"/>
      <c r="E10"/>
      <c r="F10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45"/>
  <sheetViews>
    <sheetView workbookViewId="0">
      <selection activeCell="G13" sqref="G13"/>
    </sheetView>
  </sheetViews>
  <sheetFormatPr defaultRowHeight="13.9" x14ac:dyDescent="0.4"/>
  <sheetData>
    <row r="1" spans="1:2" x14ac:dyDescent="0.4">
      <c r="A1" t="s">
        <v>80</v>
      </c>
      <c r="B1" t="s">
        <v>75</v>
      </c>
    </row>
    <row r="2" spans="1:2" x14ac:dyDescent="0.4">
      <c r="A2" t="s">
        <v>119</v>
      </c>
      <c r="B2" t="s">
        <v>50</v>
      </c>
    </row>
    <row r="3" spans="1:2" x14ac:dyDescent="0.4">
      <c r="A3" t="s">
        <v>138</v>
      </c>
      <c r="B3" t="s">
        <v>130</v>
      </c>
    </row>
    <row r="4" spans="1:2" x14ac:dyDescent="0.4">
      <c r="A4" t="s">
        <v>50</v>
      </c>
      <c r="B4" t="s">
        <v>43</v>
      </c>
    </row>
    <row r="5" spans="1:2" x14ac:dyDescent="0.4">
      <c r="A5" t="s">
        <v>115</v>
      </c>
      <c r="B5" t="s">
        <v>85</v>
      </c>
    </row>
    <row r="6" spans="1:2" x14ac:dyDescent="0.4">
      <c r="A6" t="s">
        <v>53</v>
      </c>
      <c r="B6" t="s">
        <v>90</v>
      </c>
    </row>
    <row r="7" spans="1:2" x14ac:dyDescent="0.4">
      <c r="A7" t="s">
        <v>28</v>
      </c>
      <c r="B7" t="s">
        <v>115</v>
      </c>
    </row>
    <row r="8" spans="1:2" x14ac:dyDescent="0.4">
      <c r="A8" t="s">
        <v>75</v>
      </c>
      <c r="B8" t="s">
        <v>117</v>
      </c>
    </row>
    <row r="9" spans="1:2" x14ac:dyDescent="0.4">
      <c r="A9" t="s">
        <v>116</v>
      </c>
      <c r="B9" t="s">
        <v>56</v>
      </c>
    </row>
    <row r="10" spans="1:2" x14ac:dyDescent="0.4">
      <c r="A10" t="s">
        <v>137</v>
      </c>
      <c r="B10" t="s">
        <v>34</v>
      </c>
    </row>
    <row r="11" spans="1:2" x14ac:dyDescent="0.4">
      <c r="A11" t="s">
        <v>50</v>
      </c>
      <c r="B11" t="s">
        <v>28</v>
      </c>
    </row>
    <row r="12" spans="1:2" x14ac:dyDescent="0.4">
      <c r="A12" t="s">
        <v>34</v>
      </c>
      <c r="B12" t="s">
        <v>71</v>
      </c>
    </row>
    <row r="13" spans="1:2" x14ac:dyDescent="0.4">
      <c r="A13" t="s">
        <v>43</v>
      </c>
      <c r="B13" t="s">
        <v>105</v>
      </c>
    </row>
    <row r="14" spans="1:2" x14ac:dyDescent="0.4">
      <c r="A14" t="s">
        <v>66</v>
      </c>
      <c r="B14" t="s">
        <v>62</v>
      </c>
    </row>
    <row r="15" spans="1:2" x14ac:dyDescent="0.4">
      <c r="A15" t="s">
        <v>105</v>
      </c>
      <c r="B15" t="s">
        <v>110</v>
      </c>
    </row>
    <row r="16" spans="1:2" x14ac:dyDescent="0.4">
      <c r="A16" t="s">
        <v>75</v>
      </c>
      <c r="B16" t="s">
        <v>50</v>
      </c>
    </row>
    <row r="17" spans="1:2" x14ac:dyDescent="0.4">
      <c r="A17" t="s">
        <v>53</v>
      </c>
      <c r="B17" t="s">
        <v>66</v>
      </c>
    </row>
    <row r="18" spans="1:2" x14ac:dyDescent="0.4">
      <c r="A18" t="s">
        <v>71</v>
      </c>
      <c r="B18" t="s">
        <v>95</v>
      </c>
    </row>
    <row r="19" spans="1:2" x14ac:dyDescent="0.4">
      <c r="A19" t="s">
        <v>75</v>
      </c>
      <c r="B19" t="s">
        <v>28</v>
      </c>
    </row>
    <row r="20" spans="1:2" x14ac:dyDescent="0.4">
      <c r="A20" t="s">
        <v>130</v>
      </c>
      <c r="B20" t="s">
        <v>56</v>
      </c>
    </row>
    <row r="21" spans="1:2" x14ac:dyDescent="0.4">
      <c r="A21" t="s">
        <v>59</v>
      </c>
      <c r="B21" t="s">
        <v>80</v>
      </c>
    </row>
    <row r="22" spans="1:2" x14ac:dyDescent="0.4">
      <c r="A22" t="s">
        <v>85</v>
      </c>
      <c r="B22" t="s">
        <v>50</v>
      </c>
    </row>
    <row r="23" spans="1:2" x14ac:dyDescent="0.4">
      <c r="A23" t="s">
        <v>34</v>
      </c>
      <c r="B23" t="s">
        <v>100</v>
      </c>
    </row>
    <row r="24" spans="1:2" x14ac:dyDescent="0.4">
      <c r="A24" t="s">
        <v>62</v>
      </c>
      <c r="B24" t="s">
        <v>66</v>
      </c>
    </row>
    <row r="25" spans="1:2" x14ac:dyDescent="0.4">
      <c r="A25" t="s">
        <v>56</v>
      </c>
      <c r="B25" t="s">
        <v>116</v>
      </c>
    </row>
    <row r="26" spans="1:2" x14ac:dyDescent="0.4">
      <c r="A26" t="s">
        <v>110</v>
      </c>
      <c r="B26" t="s">
        <v>124</v>
      </c>
    </row>
    <row r="27" spans="1:2" x14ac:dyDescent="0.4">
      <c r="A27" t="s">
        <v>28</v>
      </c>
      <c r="B27" t="s">
        <v>138</v>
      </c>
    </row>
    <row r="28" spans="1:2" x14ac:dyDescent="0.4">
      <c r="A28" t="s">
        <v>125</v>
      </c>
      <c r="B28" t="s">
        <v>53</v>
      </c>
    </row>
    <row r="29" spans="1:2" x14ac:dyDescent="0.4">
      <c r="A29" t="s">
        <v>53</v>
      </c>
      <c r="B29" t="s">
        <v>75</v>
      </c>
    </row>
    <row r="30" spans="1:2" x14ac:dyDescent="0.4">
      <c r="A30" t="s">
        <v>80</v>
      </c>
      <c r="B30" t="s">
        <v>34</v>
      </c>
    </row>
    <row r="31" spans="1:2" x14ac:dyDescent="0.4">
      <c r="A31" t="s">
        <v>90</v>
      </c>
      <c r="B31" t="s">
        <v>137</v>
      </c>
    </row>
    <row r="32" spans="1:2" x14ac:dyDescent="0.4">
      <c r="A32" t="s">
        <v>46</v>
      </c>
      <c r="B32" t="s">
        <v>50</v>
      </c>
    </row>
    <row r="33" spans="1:2" x14ac:dyDescent="0.4">
      <c r="A33" t="s">
        <v>50</v>
      </c>
      <c r="B33" t="s">
        <v>119</v>
      </c>
    </row>
    <row r="34" spans="1:2" x14ac:dyDescent="0.4">
      <c r="A34" t="s">
        <v>80</v>
      </c>
      <c r="B34" t="s">
        <v>53</v>
      </c>
    </row>
    <row r="35" spans="1:2" x14ac:dyDescent="0.4">
      <c r="A35" t="s">
        <v>100</v>
      </c>
      <c r="B35" t="s">
        <v>80</v>
      </c>
    </row>
    <row r="36" spans="1:2" x14ac:dyDescent="0.4">
      <c r="A36" t="s">
        <v>124</v>
      </c>
      <c r="B36" t="s">
        <v>71</v>
      </c>
    </row>
    <row r="37" spans="1:2" x14ac:dyDescent="0.4">
      <c r="A37" t="s">
        <v>117</v>
      </c>
      <c r="B37" t="s">
        <v>75</v>
      </c>
    </row>
    <row r="38" spans="1:2" x14ac:dyDescent="0.4">
      <c r="A38" t="s">
        <v>71</v>
      </c>
      <c r="B38" t="s">
        <v>38</v>
      </c>
    </row>
    <row r="39" spans="1:2" x14ac:dyDescent="0.4">
      <c r="A39" t="s">
        <v>50</v>
      </c>
      <c r="B39" t="s">
        <v>28</v>
      </c>
    </row>
    <row r="40" spans="1:2" x14ac:dyDescent="0.4">
      <c r="A40" t="s">
        <v>66</v>
      </c>
      <c r="B40" t="s">
        <v>46</v>
      </c>
    </row>
    <row r="41" spans="1:2" x14ac:dyDescent="0.4">
      <c r="A41" t="s">
        <v>56</v>
      </c>
      <c r="B41" t="s">
        <v>80</v>
      </c>
    </row>
    <row r="42" spans="1:2" x14ac:dyDescent="0.4">
      <c r="A42" t="s">
        <v>134</v>
      </c>
      <c r="B42" t="s">
        <v>59</v>
      </c>
    </row>
    <row r="43" spans="1:2" x14ac:dyDescent="0.4">
      <c r="A43" t="s">
        <v>95</v>
      </c>
      <c r="B43" t="s">
        <v>125</v>
      </c>
    </row>
    <row r="44" spans="1:2" x14ac:dyDescent="0.4">
      <c r="A44" t="s">
        <v>38</v>
      </c>
      <c r="B44" t="s">
        <v>134</v>
      </c>
    </row>
    <row r="45" spans="1:2" x14ac:dyDescent="0.4">
      <c r="A45" t="s">
        <v>28</v>
      </c>
      <c r="B45" t="s">
        <v>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T55"/>
  <sheetViews>
    <sheetView topLeftCell="B1" workbookViewId="0">
      <selection activeCell="J12" sqref="J12"/>
    </sheetView>
  </sheetViews>
  <sheetFormatPr defaultRowHeight="13.9" x14ac:dyDescent="0.4"/>
  <cols>
    <col min="3" max="3" width="12.59765625" style="116" customWidth="1"/>
    <col min="5" max="9" width="10.59765625" style="116" customWidth="1"/>
    <col min="11" max="11" width="10.53125" style="116" customWidth="1"/>
    <col min="14" max="14" width="10.86328125" style="116" customWidth="1"/>
  </cols>
  <sheetData>
    <row r="1" spans="1:20" s="103" customFormat="1" ht="15" customHeight="1" thickBot="1" x14ac:dyDescent="0.45">
      <c r="A1" s="97" t="s">
        <v>142</v>
      </c>
      <c r="B1" s="98" t="s">
        <v>18</v>
      </c>
      <c r="C1" s="98" t="s">
        <v>19</v>
      </c>
      <c r="D1" s="98" t="s">
        <v>20</v>
      </c>
      <c r="E1" s="99" t="s">
        <v>143</v>
      </c>
      <c r="F1" s="99" t="s">
        <v>4</v>
      </c>
      <c r="G1" s="99" t="s">
        <v>144</v>
      </c>
      <c r="H1" s="99" t="s">
        <v>145</v>
      </c>
      <c r="I1" s="99" t="s">
        <v>146</v>
      </c>
      <c r="J1" s="100"/>
      <c r="K1" s="101" t="s">
        <v>147</v>
      </c>
      <c r="L1" s="100" t="s">
        <v>148</v>
      </c>
      <c r="M1" s="100"/>
      <c r="N1" s="101" t="s">
        <v>149</v>
      </c>
      <c r="O1" s="100" t="s">
        <v>27</v>
      </c>
      <c r="P1" s="100" t="s">
        <v>49</v>
      </c>
      <c r="Q1" s="100" t="s">
        <v>65</v>
      </c>
      <c r="R1" s="100" t="s">
        <v>74</v>
      </c>
      <c r="S1" s="100" t="s">
        <v>118</v>
      </c>
      <c r="T1" s="102" t="s">
        <v>133</v>
      </c>
    </row>
    <row r="2" spans="1:20" ht="15" customHeight="1" x14ac:dyDescent="0.4">
      <c r="A2" s="92">
        <f t="shared" ref="A2:A33" si="0">ROW()-1</f>
        <v>1</v>
      </c>
      <c r="B2" s="92" t="str">
        <f>_xlfn.XLOOKUP($C2,舞种配比!$B$2:$B$91,舞种配比!$A$2:$A$91,"")</f>
        <v>表演</v>
      </c>
      <c r="C2" s="93"/>
      <c r="D2" s="92">
        <f>_xlfn.XLOOKUP($C2,舞种配比!$B$2:$B$91,舞种配比!$C$2:$C$91,"")</f>
        <v>0</v>
      </c>
      <c r="E2" s="105" t="str">
        <f t="shared" ref="E2:E33" si="1">IF(ROW()&lt;4, "OK", IF(AND(B3=B2, B2=B1), "〿相邻3次", "OK"))</f>
        <v>OK</v>
      </c>
      <c r="F2" s="96" t="str">
        <f t="array" ref="F2">IF(COUNTIF(C$2:C2,C2)&gt;1, ROW()-MAX(IF(C$1:C1=C2,ROW(C$1:C1)))-1, "首次")</f>
        <v>首次</v>
      </c>
      <c r="G2" s="96" t="str">
        <f t="shared" ref="G2:G33" si="2">IF(ROW()&gt;2, IF(D2=D1, "⚠️同节奏", "OK"), "OK")</f>
        <v>OK</v>
      </c>
      <c r="H2" s="96" t="str">
        <f t="shared" ref="H2:H33" si="3">IF(F2="首次","",IF(F2&lt;5,"⚠️间隔"&amp;F2&amp;"首","间隔"&amp;F2&amp;"首✓"))</f>
        <v/>
      </c>
      <c r="I2" s="96"/>
      <c r="K2" s="6" t="s">
        <v>150</v>
      </c>
      <c r="L2">
        <f t="array" ref="L2">SUMPRODUCT(--(LEN(TRIM(C2:C96))&gt;0))</f>
        <v>0</v>
      </c>
      <c r="N2" s="78" t="s">
        <v>151</v>
      </c>
      <c r="O2" s="6">
        <f>COUNTIFS($B$2:$B$16,"摩登舞")</f>
        <v>0</v>
      </c>
      <c r="P2" s="6">
        <f>COUNTIFS($B$2:$B$16,"拉丁舞")</f>
        <v>0</v>
      </c>
      <c r="Q2" s="6">
        <f>COUNTIFS($B$2:$B$16,"地方舞")</f>
        <v>0</v>
      </c>
      <c r="R2" s="6">
        <f>COUNTIFS($B$2:$B$16,"交谊舞")</f>
        <v>0</v>
      </c>
      <c r="S2" s="6">
        <f>COUNTIFS($B$2:$B$16,"集体舞")</f>
        <v>0</v>
      </c>
      <c r="T2" s="6">
        <f>COUNTIFS($B$2:$B$16,"网红舞")</f>
        <v>0</v>
      </c>
    </row>
    <row r="3" spans="1:20" ht="15" customHeight="1" x14ac:dyDescent="0.4">
      <c r="A3" s="94">
        <f t="shared" si="0"/>
        <v>2</v>
      </c>
      <c r="B3" s="94" t="str">
        <f>_xlfn.XLOOKUP($C3,舞种配比!$B$2:$B$91,舞种配比!$A$2:$A$91,"")</f>
        <v>表演</v>
      </c>
      <c r="C3" s="95"/>
      <c r="D3" s="94">
        <f>_xlfn.XLOOKUP($C3,舞种配比!$B$2:$B$91,舞种配比!$C$2:$C$91,"")</f>
        <v>0</v>
      </c>
      <c r="E3" s="105" t="str">
        <f t="shared" si="1"/>
        <v>OK</v>
      </c>
      <c r="F3" s="96" t="str">
        <f t="array" ref="F3">IF(COUNTIF(C$2:C3,C3)&gt;1, ROW()-MAX(IF(C$1:C2=C3,ROW(C$1:C2)))-1, "首次")</f>
        <v>首次</v>
      </c>
      <c r="G3" s="96" t="str">
        <f t="shared" si="2"/>
        <v>⚠️同节奏</v>
      </c>
      <c r="H3" s="96" t="str">
        <f t="shared" si="3"/>
        <v/>
      </c>
      <c r="I3" s="96"/>
      <c r="K3" s="6"/>
      <c r="N3" s="104" t="s">
        <v>152</v>
      </c>
      <c r="O3" s="104">
        <f>COUNTIFS($B$17:$B$31,"摩登舞")</f>
        <v>0</v>
      </c>
      <c r="P3" s="104">
        <f>COUNTIFS($B$17:$B$31,"拉丁舞")</f>
        <v>0</v>
      </c>
      <c r="Q3" s="104">
        <f>COUNTIFS($B$17:$B$31,"地方舞")</f>
        <v>0</v>
      </c>
      <c r="R3" s="104">
        <f>COUNTIFS($B$17:$B$31,"交谊舞")</f>
        <v>0</v>
      </c>
      <c r="S3" s="104">
        <f>COUNTIFS($B$17:$B$31,"集体舞")</f>
        <v>0</v>
      </c>
      <c r="T3" s="104">
        <f>COUNTIFS($B$17:$B$31,"网红舞")</f>
        <v>0</v>
      </c>
    </row>
    <row r="4" spans="1:20" ht="15" customHeight="1" x14ac:dyDescent="0.4">
      <c r="A4" s="94">
        <f t="shared" si="0"/>
        <v>3</v>
      </c>
      <c r="B4" s="94" t="str">
        <f>_xlfn.XLOOKUP($C4,舞种配比!$B$2:$B$91,舞种配比!$A$2:$A$91,"")</f>
        <v>表演</v>
      </c>
      <c r="C4" s="95"/>
      <c r="D4" s="94">
        <f>_xlfn.XLOOKUP($C4,舞种配比!$B$2:$B$91,舞种配比!$C$2:$C$91,"")</f>
        <v>0</v>
      </c>
      <c r="E4" s="105" t="str">
        <f t="shared" si="1"/>
        <v>〿相邻3次</v>
      </c>
      <c r="F4" s="96" t="str">
        <f t="array" ref="F4">IF(COUNTIF(C$2:C4,C4)&gt;1, ROW()-MAX(IF(C$1:C3=C4,ROW(C$1:C3)))-1, "首次")</f>
        <v>首次</v>
      </c>
      <c r="G4" s="96" t="str">
        <f t="shared" si="2"/>
        <v>⚠️同节奏</v>
      </c>
      <c r="H4" s="96" t="str">
        <f t="shared" si="3"/>
        <v/>
      </c>
      <c r="I4" s="96"/>
      <c r="K4" s="81" t="s">
        <v>153</v>
      </c>
      <c r="L4" s="82">
        <f>COUNTIF($D:$D,"慢")</f>
        <v>0</v>
      </c>
      <c r="N4" s="78" t="s">
        <v>154</v>
      </c>
      <c r="O4" s="78">
        <f>COUNTIFS($B$32:$B$51,"摩登舞")</f>
        <v>0</v>
      </c>
      <c r="P4" s="78">
        <f>COUNTIFS($B$32:$B$51,"拉丁舞")</f>
        <v>0</v>
      </c>
      <c r="Q4" s="78">
        <f>COUNTIFS($B$32:$B$51,"地方舞")</f>
        <v>0</v>
      </c>
      <c r="R4" s="78">
        <f>COUNTIFS($B$32:$B$51,"交谊舞")</f>
        <v>0</v>
      </c>
      <c r="S4" s="78">
        <f>COUNTIFS($B$32:$B$51,"集体舞")</f>
        <v>0</v>
      </c>
      <c r="T4" s="78">
        <f>COUNTIFS($B$32:$B$51,"网红舞")</f>
        <v>0</v>
      </c>
    </row>
    <row r="5" spans="1:20" ht="15" customHeight="1" x14ac:dyDescent="0.4">
      <c r="A5" s="94">
        <f t="shared" si="0"/>
        <v>4</v>
      </c>
      <c r="B5" s="94" t="str">
        <f>_xlfn.XLOOKUP($C5,舞种配比!$B$2:$B$91,舞种配比!$A$2:$A$91,"")</f>
        <v>表演</v>
      </c>
      <c r="C5" s="95"/>
      <c r="D5" s="94">
        <f>_xlfn.XLOOKUP($C5,舞种配比!$B$2:$B$91,舞种配比!$C$2:$C$91,"")</f>
        <v>0</v>
      </c>
      <c r="E5" s="105" t="str">
        <f t="shared" si="1"/>
        <v>〿相邻3次</v>
      </c>
      <c r="F5" s="96" t="str">
        <f t="array" ref="F5">IF(COUNTIF(C$2:C5,C5)&gt;1, ROW()-MAX(IF(C$1:C4=C5,ROW(C$1:C4)))-1, "首次")</f>
        <v>首次</v>
      </c>
      <c r="G5" s="96" t="str">
        <f t="shared" si="2"/>
        <v>⚠️同节奏</v>
      </c>
      <c r="H5" s="96" t="str">
        <f t="shared" si="3"/>
        <v/>
      </c>
      <c r="I5" s="96"/>
      <c r="K5" s="83" t="s">
        <v>155</v>
      </c>
      <c r="L5" s="84">
        <f>COUNTIF($D:$D,"中")</f>
        <v>0</v>
      </c>
      <c r="N5" s="78"/>
      <c r="O5" s="78"/>
      <c r="P5" s="78"/>
      <c r="Q5" s="78"/>
      <c r="R5" s="78"/>
      <c r="S5" s="78"/>
      <c r="T5" s="78"/>
    </row>
    <row r="6" spans="1:20" ht="15" customHeight="1" x14ac:dyDescent="0.4">
      <c r="A6" s="94">
        <f t="shared" si="0"/>
        <v>5</v>
      </c>
      <c r="B6" s="94" t="str">
        <f>_xlfn.XLOOKUP($C6,舞种配比!$B$2:$B$91,舞种配比!$A$2:$A$91,"")</f>
        <v>表演</v>
      </c>
      <c r="C6" s="95"/>
      <c r="D6" s="94">
        <f>_xlfn.XLOOKUP($C6,舞种配比!$B$2:$B$91,舞种配比!$C$2:$C$91,"")</f>
        <v>0</v>
      </c>
      <c r="E6" s="105" t="str">
        <f t="shared" si="1"/>
        <v>〿相邻3次</v>
      </c>
      <c r="F6" s="96" t="str">
        <f t="array" ref="F6">IF(COUNTIF(C$2:C6,C6)&gt;1, ROW()-MAX(IF(C$1:C5=C6,ROW(C$1:C5)))-1, "首次")</f>
        <v>首次</v>
      </c>
      <c r="G6" s="96" t="str">
        <f t="shared" si="2"/>
        <v>⚠️同节奏</v>
      </c>
      <c r="H6" s="96" t="str">
        <f t="shared" si="3"/>
        <v/>
      </c>
      <c r="I6" s="96"/>
      <c r="K6" s="79" t="s">
        <v>156</v>
      </c>
      <c r="L6" s="80">
        <f>COUNTIF($D:$D,"快")</f>
        <v>0</v>
      </c>
      <c r="N6" s="78"/>
      <c r="O6" s="78"/>
      <c r="P6" s="78"/>
      <c r="Q6" s="78"/>
      <c r="R6" s="78"/>
      <c r="S6" s="78"/>
      <c r="T6" s="78"/>
    </row>
    <row r="7" spans="1:20" ht="15" customHeight="1" thickBot="1" x14ac:dyDescent="0.45">
      <c r="A7" s="94">
        <f t="shared" si="0"/>
        <v>6</v>
      </c>
      <c r="B7" s="94" t="str">
        <f>_xlfn.XLOOKUP($C7,舞种配比!$B$2:$B$91,舞种配比!$A$2:$A$91,"")</f>
        <v>表演</v>
      </c>
      <c r="C7" s="95"/>
      <c r="D7" s="94">
        <f>_xlfn.XLOOKUP($C7,舞种配比!$B$2:$B$91,舞种配比!$C$2:$C$91,"")</f>
        <v>0</v>
      </c>
      <c r="E7" s="105" t="str">
        <f t="shared" si="1"/>
        <v>〿相邻3次</v>
      </c>
      <c r="F7" s="96" t="str">
        <f t="array" ref="F7">IF(COUNTIF(C$2:C7,C7)&gt;1, ROW()-MAX(IF(C$1:C6=C7,ROW(C$1:C6)))-1, "首次")</f>
        <v>首次</v>
      </c>
      <c r="G7" s="96" t="str">
        <f t="shared" si="2"/>
        <v>⚠️同节奏</v>
      </c>
      <c r="H7" s="96" t="str">
        <f t="shared" si="3"/>
        <v/>
      </c>
      <c r="I7" s="96"/>
      <c r="K7" s="6"/>
    </row>
    <row r="8" spans="1:20" ht="15" customHeight="1" thickBot="1" x14ac:dyDescent="0.45">
      <c r="A8" s="94">
        <f t="shared" si="0"/>
        <v>7</v>
      </c>
      <c r="B8" s="94" t="str">
        <f>_xlfn.XLOOKUP($C8,舞种配比!$B$2:$B$91,舞种配比!$A$2:$A$91,"")</f>
        <v>表演</v>
      </c>
      <c r="C8" s="95"/>
      <c r="D8" s="94">
        <f>_xlfn.XLOOKUP($C8,舞种配比!$B$2:$B$91,舞种配比!$C$2:$C$91,"")</f>
        <v>0</v>
      </c>
      <c r="E8" s="105" t="str">
        <f t="shared" si="1"/>
        <v>〿相邻3次</v>
      </c>
      <c r="F8" s="96" t="str">
        <f t="array" ref="F8">IF(COUNTIF(C$2:C8,C8)&gt;1, ROW()-MAX(IF(C$1:C7=C8,ROW(C$1:C7)))-1, "首次")</f>
        <v>首次</v>
      </c>
      <c r="G8" s="96" t="str">
        <f t="shared" si="2"/>
        <v>⚠️同节奏</v>
      </c>
      <c r="H8" s="96" t="str">
        <f t="shared" si="3"/>
        <v/>
      </c>
      <c r="I8" s="96"/>
      <c r="K8" s="6" t="s">
        <v>157</v>
      </c>
      <c r="L8" s="106">
        <f>COUNTIF($E:$E,"〿*")</f>
        <v>48</v>
      </c>
      <c r="N8" s="91" t="s">
        <v>158</v>
      </c>
      <c r="O8" s="85">
        <f t="shared" ref="O8:T8" si="4">COUNTIFS($B$2:$B$52,O$1)</f>
        <v>0</v>
      </c>
      <c r="P8" s="86">
        <f t="shared" si="4"/>
        <v>0</v>
      </c>
      <c r="Q8" s="90">
        <f t="shared" si="4"/>
        <v>0</v>
      </c>
      <c r="R8" s="87">
        <f t="shared" si="4"/>
        <v>0</v>
      </c>
      <c r="S8" s="88">
        <f t="shared" si="4"/>
        <v>0</v>
      </c>
      <c r="T8" s="89">
        <f t="shared" si="4"/>
        <v>0</v>
      </c>
    </row>
    <row r="9" spans="1:20" ht="15" customHeight="1" x14ac:dyDescent="0.4">
      <c r="A9" s="94">
        <f t="shared" si="0"/>
        <v>8</v>
      </c>
      <c r="B9" s="94" t="str">
        <f>_xlfn.XLOOKUP($C9,舞种配比!$B$2:$B$91,舞种配比!$A$2:$A$91,"")</f>
        <v>表演</v>
      </c>
      <c r="C9" s="95"/>
      <c r="D9" s="94">
        <f>_xlfn.XLOOKUP($C9,舞种配比!$B$2:$B$91,舞种配比!$C$2:$C$91,"")</f>
        <v>0</v>
      </c>
      <c r="E9" s="105" t="str">
        <f t="shared" si="1"/>
        <v>〿相邻3次</v>
      </c>
      <c r="F9" s="96" t="str">
        <f t="array" ref="F9">IF(COUNTIF(C$2:C9,C9)&gt;1, ROW()-MAX(IF(C$1:C8=C9,ROW(C$1:C8)))-1, "首次")</f>
        <v>首次</v>
      </c>
      <c r="G9" s="96" t="str">
        <f t="shared" si="2"/>
        <v>⚠️同节奏</v>
      </c>
      <c r="H9" s="96" t="str">
        <f t="shared" si="3"/>
        <v/>
      </c>
      <c r="I9" s="96"/>
      <c r="K9" s="6" t="s">
        <v>159</v>
      </c>
      <c r="L9" s="106">
        <f>COUNTIF($H:$H,"⚠️*")</f>
        <v>0</v>
      </c>
    </row>
    <row r="10" spans="1:20" ht="15" customHeight="1" x14ac:dyDescent="0.4">
      <c r="A10" s="94">
        <f t="shared" si="0"/>
        <v>9</v>
      </c>
      <c r="B10" s="94" t="str">
        <f>_xlfn.XLOOKUP($C10,舞种配比!$B$2:$B$91,舞种配比!$A$2:$A$91,"")</f>
        <v>表演</v>
      </c>
      <c r="C10" s="95"/>
      <c r="D10" s="94">
        <f>_xlfn.XLOOKUP($C10,舞种配比!$B$2:$B$91,舞种配比!$C$2:$C$91,"")</f>
        <v>0</v>
      </c>
      <c r="E10" s="105" t="str">
        <f t="shared" si="1"/>
        <v>〿相邻3次</v>
      </c>
      <c r="F10" s="96" t="str">
        <f t="array" ref="F10">IF(COUNTIF(C$2:C10,C10)&gt;1, ROW()-MAX(IF(C$1:C9=C10,ROW(C$1:C9)))-1, "首次")</f>
        <v>首次</v>
      </c>
      <c r="G10" s="96" t="str">
        <f t="shared" si="2"/>
        <v>⚠️同节奏</v>
      </c>
      <c r="H10" s="96" t="str">
        <f t="shared" si="3"/>
        <v/>
      </c>
      <c r="I10" s="96"/>
      <c r="K10" s="6" t="s">
        <v>160</v>
      </c>
      <c r="L10" s="106">
        <f>COUNTIF($G:$G,"⚠️*")</f>
        <v>50</v>
      </c>
    </row>
    <row r="11" spans="1:20" ht="15" customHeight="1" x14ac:dyDescent="0.4">
      <c r="A11" s="94">
        <f t="shared" si="0"/>
        <v>10</v>
      </c>
      <c r="B11" s="94" t="str">
        <f>_xlfn.XLOOKUP($C11,舞种配比!$B$2:$B$91,舞种配比!$A$2:$A$91,"")</f>
        <v>表演</v>
      </c>
      <c r="C11" s="95"/>
      <c r="D11" s="94">
        <f>_xlfn.XLOOKUP($C11,舞种配比!$B$2:$B$91,舞种配比!$C$2:$C$91,"")</f>
        <v>0</v>
      </c>
      <c r="E11" s="105" t="str">
        <f t="shared" si="1"/>
        <v>〿相邻3次</v>
      </c>
      <c r="F11" s="96" t="str">
        <f t="array" ref="F11">IF(COUNTIF(C$2:C11,C11)&gt;1, ROW()-MAX(IF(C$1:C10=C11,ROW(C$1:C10)))-1, "首次")</f>
        <v>首次</v>
      </c>
      <c r="G11" s="96" t="str">
        <f t="shared" si="2"/>
        <v>⚠️同节奏</v>
      </c>
      <c r="H11" s="96" t="str">
        <f t="shared" si="3"/>
        <v/>
      </c>
      <c r="I11" s="96"/>
    </row>
    <row r="12" spans="1:20" ht="15" customHeight="1" x14ac:dyDescent="0.4">
      <c r="A12" s="94">
        <f t="shared" si="0"/>
        <v>11</v>
      </c>
      <c r="B12" s="94" t="str">
        <f>_xlfn.XLOOKUP($C12,舞种配比!$B$2:$B$91,舞种配比!$A$2:$A$91,"")</f>
        <v>表演</v>
      </c>
      <c r="C12" s="95"/>
      <c r="D12" s="94">
        <f>_xlfn.XLOOKUP($C12,舞种配比!$B$2:$B$91,舞种配比!$C$2:$C$91,"")</f>
        <v>0</v>
      </c>
      <c r="E12" s="105" t="str">
        <f t="shared" si="1"/>
        <v>〿相邻3次</v>
      </c>
      <c r="F12" s="96" t="str">
        <f t="array" ref="F12">IF(COUNTIF(C$2:C12,C12)&gt;1, ROW()-MAX(IF(C$1:C11=C12,ROW(C$1:C11)))-1, "首次")</f>
        <v>首次</v>
      </c>
      <c r="G12" s="96" t="str">
        <f t="shared" si="2"/>
        <v>⚠️同节奏</v>
      </c>
      <c r="H12" s="96" t="str">
        <f t="shared" si="3"/>
        <v/>
      </c>
      <c r="I12" s="96"/>
    </row>
    <row r="13" spans="1:20" ht="15" customHeight="1" x14ac:dyDescent="0.4">
      <c r="A13" s="94">
        <f t="shared" si="0"/>
        <v>12</v>
      </c>
      <c r="B13" s="94" t="str">
        <f>_xlfn.XLOOKUP($C13,舞种配比!$B$2:$B$91,舞种配比!$A$2:$A$91,"")</f>
        <v>表演</v>
      </c>
      <c r="C13" s="95"/>
      <c r="D13" s="94">
        <f>_xlfn.XLOOKUP($C13,舞种配比!$B$2:$B$91,舞种配比!$C$2:$C$91,"")</f>
        <v>0</v>
      </c>
      <c r="E13" s="105" t="str">
        <f t="shared" si="1"/>
        <v>〿相邻3次</v>
      </c>
      <c r="F13" s="96" t="str">
        <f t="array" ref="F13">IF(COUNTIF(C$2:C13,C13)&gt;1, ROW()-MAX(IF(C$1:C12=C13,ROW(C$1:C12)))-1, "首次")</f>
        <v>首次</v>
      </c>
      <c r="G13" s="96" t="str">
        <f t="shared" si="2"/>
        <v>⚠️同节奏</v>
      </c>
      <c r="H13" s="96" t="str">
        <f t="shared" si="3"/>
        <v/>
      </c>
      <c r="I13" s="96"/>
    </row>
    <row r="14" spans="1:20" ht="15" customHeight="1" x14ac:dyDescent="0.4">
      <c r="A14" s="94">
        <f t="shared" si="0"/>
        <v>13</v>
      </c>
      <c r="B14" s="94" t="str">
        <f>_xlfn.XLOOKUP($C14,舞种配比!$B$2:$B$91,舞种配比!$A$2:$A$91,"")</f>
        <v>表演</v>
      </c>
      <c r="C14" s="95"/>
      <c r="D14" s="94">
        <f>_xlfn.XLOOKUP($C14,舞种配比!$B$2:$B$91,舞种配比!$C$2:$C$91,"")</f>
        <v>0</v>
      </c>
      <c r="E14" s="105" t="str">
        <f t="shared" si="1"/>
        <v>〿相邻3次</v>
      </c>
      <c r="F14" s="96" t="str">
        <f t="array" ref="F14">IF(COUNTIF(C$2:C14,C14)&gt;1, ROW()-MAX(IF(C$1:C13=C14,ROW(C$1:C13)))-1, "首次")</f>
        <v>首次</v>
      </c>
      <c r="G14" s="96" t="str">
        <f t="shared" si="2"/>
        <v>⚠️同节奏</v>
      </c>
      <c r="H14" s="96" t="str">
        <f t="shared" si="3"/>
        <v/>
      </c>
      <c r="I14" s="96"/>
      <c r="K14" s="107" t="s">
        <v>161</v>
      </c>
    </row>
    <row r="15" spans="1:20" ht="15" customHeight="1" x14ac:dyDescent="0.4">
      <c r="A15" s="94">
        <f t="shared" si="0"/>
        <v>14</v>
      </c>
      <c r="B15" s="94" t="str">
        <f>_xlfn.XLOOKUP($C15,舞种配比!$B$2:$B$91,舞种配比!$A$2:$A$91,"")</f>
        <v>表演</v>
      </c>
      <c r="C15" s="95"/>
      <c r="D15" s="94">
        <f>_xlfn.XLOOKUP($C15,舞种配比!$B$2:$B$91,舞种配比!$C$2:$C$91,"")</f>
        <v>0</v>
      </c>
      <c r="E15" s="105" t="str">
        <f t="shared" si="1"/>
        <v>〿相邻3次</v>
      </c>
      <c r="F15" s="96" t="str">
        <f t="array" ref="F15">IF(COUNTIF(C$2:C15,C15)&gt;1, ROW()-MAX(IF(C$1:C14=C15,ROW(C$1:C14)))-1, "首次")</f>
        <v>首次</v>
      </c>
      <c r="G15" s="96" t="str">
        <f t="shared" si="2"/>
        <v>⚠️同节奏</v>
      </c>
      <c r="H15" s="96" t="str">
        <f t="shared" si="3"/>
        <v/>
      </c>
      <c r="I15" s="96"/>
      <c r="K15" t="s">
        <v>162</v>
      </c>
    </row>
    <row r="16" spans="1:20" ht="15" customHeight="1" x14ac:dyDescent="0.4">
      <c r="A16" s="94">
        <f t="shared" si="0"/>
        <v>15</v>
      </c>
      <c r="B16" s="94" t="str">
        <f>_xlfn.XLOOKUP($C16,舞种配比!$B$2:$B$91,舞种配比!$A$2:$A$91,"")</f>
        <v>表演</v>
      </c>
      <c r="C16" s="95"/>
      <c r="D16" s="94">
        <f>_xlfn.XLOOKUP($C16,舞种配比!$B$2:$B$91,舞种配比!$C$2:$C$91,"")</f>
        <v>0</v>
      </c>
      <c r="E16" s="105" t="str">
        <f t="shared" si="1"/>
        <v>〿相邻3次</v>
      </c>
      <c r="F16" s="96" t="str">
        <f t="array" ref="F16">IF(COUNTIF(C$2:C16,C16)&gt;1, ROW()-MAX(IF(C$1:C15=C16,ROW(C$1:C15)))-1, "首次")</f>
        <v>首次</v>
      </c>
      <c r="G16" s="96" t="str">
        <f t="shared" si="2"/>
        <v>⚠️同节奏</v>
      </c>
      <c r="H16" s="96" t="str">
        <f t="shared" si="3"/>
        <v/>
      </c>
      <c r="I16" s="96"/>
      <c r="K16" t="s">
        <v>163</v>
      </c>
    </row>
    <row r="17" spans="1:11" ht="15" customHeight="1" x14ac:dyDescent="0.4">
      <c r="A17" s="94">
        <f t="shared" si="0"/>
        <v>16</v>
      </c>
      <c r="B17" s="94" t="str">
        <f>_xlfn.XLOOKUP($C17,舞种配比!$B$2:$B$91,舞种配比!$A$2:$A$91,"")</f>
        <v>表演</v>
      </c>
      <c r="C17" s="95"/>
      <c r="D17" s="94">
        <f>_xlfn.XLOOKUP($C17,舞种配比!$B$2:$B$91,舞种配比!$C$2:$C$91,"")</f>
        <v>0</v>
      </c>
      <c r="E17" s="105" t="str">
        <f t="shared" si="1"/>
        <v>〿相邻3次</v>
      </c>
      <c r="F17" s="96" t="str">
        <f t="array" ref="F17">IF(COUNTIF(C$2:C17,C17)&gt;1, ROW()-MAX(IF(C$1:C16=C17,ROW(C$1:C16)))-1, "首次")</f>
        <v>首次</v>
      </c>
      <c r="G17" s="96" t="str">
        <f t="shared" si="2"/>
        <v>⚠️同节奏</v>
      </c>
      <c r="H17" s="96" t="str">
        <f t="shared" si="3"/>
        <v/>
      </c>
      <c r="I17" s="96"/>
      <c r="K17" t="s">
        <v>164</v>
      </c>
    </row>
    <row r="18" spans="1:11" ht="15" customHeight="1" x14ac:dyDescent="0.4">
      <c r="A18" s="94">
        <f t="shared" si="0"/>
        <v>17</v>
      </c>
      <c r="B18" s="94" t="str">
        <f>_xlfn.XLOOKUP($C18,舞种配比!$B$2:$B$91,舞种配比!$A$2:$A$91,"")</f>
        <v>表演</v>
      </c>
      <c r="C18" s="95"/>
      <c r="D18" s="94">
        <f>_xlfn.XLOOKUP($C18,舞种配比!$B$2:$B$91,舞种配比!$C$2:$C$91,"")</f>
        <v>0</v>
      </c>
      <c r="E18" s="105" t="str">
        <f t="shared" si="1"/>
        <v>〿相邻3次</v>
      </c>
      <c r="F18" s="96" t="str">
        <f t="array" ref="F18">IF(COUNTIF(C$2:C18,C18)&gt;1, ROW()-MAX(IF(C$1:C17=C18,ROW(C$1:C17)))-1, "首次")</f>
        <v>首次</v>
      </c>
      <c r="G18" s="96" t="str">
        <f t="shared" si="2"/>
        <v>⚠️同节奏</v>
      </c>
      <c r="H18" s="96" t="str">
        <f t="shared" si="3"/>
        <v/>
      </c>
      <c r="I18" s="96"/>
      <c r="K18" t="s">
        <v>165</v>
      </c>
    </row>
    <row r="19" spans="1:11" ht="15" customHeight="1" x14ac:dyDescent="0.4">
      <c r="A19" s="94">
        <f t="shared" si="0"/>
        <v>18</v>
      </c>
      <c r="B19" s="94" t="str">
        <f>_xlfn.XLOOKUP($C19,舞种配比!$B$2:$B$91,舞种配比!$A$2:$A$91,"")</f>
        <v>表演</v>
      </c>
      <c r="C19" s="95"/>
      <c r="D19" s="94">
        <f>_xlfn.XLOOKUP($C19,舞种配比!$B$2:$B$91,舞种配比!$C$2:$C$91,"")</f>
        <v>0</v>
      </c>
      <c r="E19" s="105" t="str">
        <f t="shared" si="1"/>
        <v>〿相邻3次</v>
      </c>
      <c r="F19" s="96" t="str">
        <f t="array" ref="F19">IF(COUNTIF(C$2:C19,C19)&gt;1, ROW()-MAX(IF(C$1:C18=C19,ROW(C$1:C18)))-1, "首次")</f>
        <v>首次</v>
      </c>
      <c r="G19" s="96" t="str">
        <f t="shared" si="2"/>
        <v>⚠️同节奏</v>
      </c>
      <c r="H19" s="96" t="str">
        <f t="shared" si="3"/>
        <v/>
      </c>
      <c r="I19" s="96"/>
      <c r="K19" t="s">
        <v>166</v>
      </c>
    </row>
    <row r="20" spans="1:11" ht="15" customHeight="1" x14ac:dyDescent="0.4">
      <c r="A20" s="94">
        <f t="shared" si="0"/>
        <v>19</v>
      </c>
      <c r="B20" s="94" t="str">
        <f>_xlfn.XLOOKUP($C20,舞种配比!$B$2:$B$91,舞种配比!$A$2:$A$91,"")</f>
        <v>表演</v>
      </c>
      <c r="C20" s="95"/>
      <c r="D20" s="94">
        <f>_xlfn.XLOOKUP($C20,舞种配比!$B$2:$B$91,舞种配比!$C$2:$C$91,"")</f>
        <v>0</v>
      </c>
      <c r="E20" s="105" t="str">
        <f t="shared" si="1"/>
        <v>〿相邻3次</v>
      </c>
      <c r="F20" s="96" t="str">
        <f t="array" ref="F20">IF(COUNTIF(C$2:C20,C20)&gt;1, ROW()-MAX(IF(C$1:C19=C20,ROW(C$1:C19)))-1, "首次")</f>
        <v>首次</v>
      </c>
      <c r="G20" s="96" t="str">
        <f t="shared" si="2"/>
        <v>⚠️同节奏</v>
      </c>
      <c r="H20" s="96" t="str">
        <f t="shared" si="3"/>
        <v/>
      </c>
      <c r="I20" s="96"/>
      <c r="K20" t="s">
        <v>167</v>
      </c>
    </row>
    <row r="21" spans="1:11" ht="15" customHeight="1" x14ac:dyDescent="0.4">
      <c r="A21" s="94">
        <f t="shared" si="0"/>
        <v>20</v>
      </c>
      <c r="B21" s="94" t="str">
        <f>_xlfn.XLOOKUP($C21,舞种配比!$B$2:$B$91,舞种配比!$A$2:$A$91,"")</f>
        <v>表演</v>
      </c>
      <c r="C21" s="95"/>
      <c r="D21" s="94">
        <f>_xlfn.XLOOKUP($C21,舞种配比!$B$2:$B$91,舞种配比!$C$2:$C$91,"")</f>
        <v>0</v>
      </c>
      <c r="E21" s="105" t="str">
        <f t="shared" si="1"/>
        <v>〿相邻3次</v>
      </c>
      <c r="F21" s="96" t="str">
        <f t="array" ref="F21">IF(COUNTIF(C$2:C21,C21)&gt;1, ROW()-MAX(IF(C$1:C20=C21,ROW(C$1:C20)))-1, "首次")</f>
        <v>首次</v>
      </c>
      <c r="G21" s="96" t="str">
        <f t="shared" si="2"/>
        <v>⚠️同节奏</v>
      </c>
      <c r="H21" s="96" t="str">
        <f t="shared" si="3"/>
        <v/>
      </c>
      <c r="I21" s="96"/>
      <c r="K21" t="s">
        <v>168</v>
      </c>
    </row>
    <row r="22" spans="1:11" ht="15" customHeight="1" x14ac:dyDescent="0.4">
      <c r="A22" s="94">
        <f t="shared" si="0"/>
        <v>21</v>
      </c>
      <c r="B22" s="94" t="str">
        <f>_xlfn.XLOOKUP($C22,舞种配比!$B$2:$B$91,舞种配比!$A$2:$A$91,"")</f>
        <v>表演</v>
      </c>
      <c r="C22" s="95"/>
      <c r="D22" s="94">
        <f>_xlfn.XLOOKUP($C22,舞种配比!$B$2:$B$91,舞种配比!$C$2:$C$91,"")</f>
        <v>0</v>
      </c>
      <c r="E22" s="105" t="str">
        <f t="shared" si="1"/>
        <v>〿相邻3次</v>
      </c>
      <c r="F22" s="96" t="str">
        <f t="array" ref="F22">IF(COUNTIF(C$2:C22,C22)&gt;1, ROW()-MAX(IF(C$1:C21=C22,ROW(C$1:C21)))-1, "首次")</f>
        <v>首次</v>
      </c>
      <c r="G22" s="96" t="str">
        <f t="shared" si="2"/>
        <v>⚠️同节奏</v>
      </c>
      <c r="H22" s="96" t="str">
        <f t="shared" si="3"/>
        <v/>
      </c>
      <c r="I22" s="96"/>
      <c r="K22" t="s">
        <v>169</v>
      </c>
    </row>
    <row r="23" spans="1:11" ht="15" customHeight="1" x14ac:dyDescent="0.4">
      <c r="A23" s="94">
        <f t="shared" si="0"/>
        <v>22</v>
      </c>
      <c r="B23" s="94" t="str">
        <f>_xlfn.XLOOKUP($C23,舞种配比!$B$2:$B$91,舞种配比!$A$2:$A$91,"")</f>
        <v>表演</v>
      </c>
      <c r="C23" s="95"/>
      <c r="D23" s="94">
        <f>_xlfn.XLOOKUP($C23,舞种配比!$B$2:$B$91,舞种配比!$C$2:$C$91,"")</f>
        <v>0</v>
      </c>
      <c r="E23" s="105" t="str">
        <f t="shared" si="1"/>
        <v>〿相邻3次</v>
      </c>
      <c r="F23" s="96" t="str">
        <f t="array" ref="F23">IF(COUNTIF(C$2:C23,C23)&gt;1, ROW()-MAX(IF(C$1:C22=C23,ROW(C$1:C22)))-1, "首次")</f>
        <v>首次</v>
      </c>
      <c r="G23" s="96" t="str">
        <f t="shared" si="2"/>
        <v>⚠️同节奏</v>
      </c>
      <c r="H23" s="96" t="str">
        <f t="shared" si="3"/>
        <v/>
      </c>
      <c r="I23" s="96"/>
      <c r="K23" t="s">
        <v>170</v>
      </c>
    </row>
    <row r="24" spans="1:11" ht="15" customHeight="1" x14ac:dyDescent="0.4">
      <c r="A24" s="94">
        <f t="shared" si="0"/>
        <v>23</v>
      </c>
      <c r="B24" s="94" t="str">
        <f>_xlfn.XLOOKUP($C24,舞种配比!$B$2:$B$91,舞种配比!$A$2:$A$91,"")</f>
        <v>表演</v>
      </c>
      <c r="C24" s="95"/>
      <c r="D24" s="94">
        <f>_xlfn.XLOOKUP($C24,舞种配比!$B$2:$B$91,舞种配比!$C$2:$C$91,"")</f>
        <v>0</v>
      </c>
      <c r="E24" s="105" t="str">
        <f t="shared" si="1"/>
        <v>〿相邻3次</v>
      </c>
      <c r="F24" s="96" t="str">
        <f t="array" ref="F24">IF(COUNTIF(C$2:C24,C24)&gt;1, ROW()-MAX(IF(C$1:C23=C24,ROW(C$1:C23)))-1, "首次")</f>
        <v>首次</v>
      </c>
      <c r="G24" s="96" t="str">
        <f t="shared" si="2"/>
        <v>⚠️同节奏</v>
      </c>
      <c r="H24" s="96" t="str">
        <f t="shared" si="3"/>
        <v/>
      </c>
      <c r="I24" s="96"/>
      <c r="K24" t="s">
        <v>171</v>
      </c>
    </row>
    <row r="25" spans="1:11" ht="15" customHeight="1" x14ac:dyDescent="0.4">
      <c r="A25" s="94">
        <f t="shared" si="0"/>
        <v>24</v>
      </c>
      <c r="B25" s="94" t="str">
        <f>_xlfn.XLOOKUP($C25,舞种配比!$B$2:$B$91,舞种配比!$A$2:$A$91,"")</f>
        <v>表演</v>
      </c>
      <c r="C25" s="95"/>
      <c r="D25" s="94">
        <f>_xlfn.XLOOKUP($C25,舞种配比!$B$2:$B$91,舞种配比!$C$2:$C$91,"")</f>
        <v>0</v>
      </c>
      <c r="E25" s="105" t="str">
        <f t="shared" si="1"/>
        <v>〿相邻3次</v>
      </c>
      <c r="F25" s="96" t="str">
        <f t="array" ref="F25">IF(COUNTIF(C$2:C25,C25)&gt;1, ROW()-MAX(IF(C$1:C24=C25,ROW(C$1:C24)))-1, "首次")</f>
        <v>首次</v>
      </c>
      <c r="G25" s="96" t="str">
        <f t="shared" si="2"/>
        <v>⚠️同节奏</v>
      </c>
      <c r="H25" s="96" t="str">
        <f t="shared" si="3"/>
        <v/>
      </c>
      <c r="I25" s="96"/>
      <c r="K25" t="s">
        <v>172</v>
      </c>
    </row>
    <row r="26" spans="1:11" ht="15" customHeight="1" x14ac:dyDescent="0.4">
      <c r="A26" s="94">
        <f t="shared" si="0"/>
        <v>25</v>
      </c>
      <c r="B26" s="94" t="str">
        <f>_xlfn.XLOOKUP($C26,舞种配比!$B$2:$B$91,舞种配比!$A$2:$A$91,"")</f>
        <v>表演</v>
      </c>
      <c r="C26" s="95"/>
      <c r="D26" s="94">
        <f>_xlfn.XLOOKUP($C26,舞种配比!$B$2:$B$91,舞种配比!$C$2:$C$91,"")</f>
        <v>0</v>
      </c>
      <c r="E26" s="105" t="str">
        <f t="shared" si="1"/>
        <v>〿相邻3次</v>
      </c>
      <c r="F26" s="96" t="str">
        <f t="array" ref="F26">IF(COUNTIF(C$2:C26,C26)&gt;1, ROW()-MAX(IF(C$1:C25=C26,ROW(C$1:C25)))-1, "首次")</f>
        <v>首次</v>
      </c>
      <c r="G26" s="96" t="str">
        <f t="shared" si="2"/>
        <v>⚠️同节奏</v>
      </c>
      <c r="H26" s="96" t="str">
        <f t="shared" si="3"/>
        <v/>
      </c>
      <c r="I26" s="96"/>
      <c r="K26" t="s">
        <v>173</v>
      </c>
    </row>
    <row r="27" spans="1:11" ht="15" customHeight="1" x14ac:dyDescent="0.4">
      <c r="A27" s="94">
        <f t="shared" si="0"/>
        <v>26</v>
      </c>
      <c r="B27" s="94" t="str">
        <f>_xlfn.XLOOKUP($C27,舞种配比!$B$2:$B$91,舞种配比!$A$2:$A$91,"")</f>
        <v>表演</v>
      </c>
      <c r="C27" s="95"/>
      <c r="D27" s="94">
        <f>_xlfn.XLOOKUP($C27,舞种配比!$B$2:$B$91,舞种配比!$C$2:$C$91,"")</f>
        <v>0</v>
      </c>
      <c r="E27" s="105" t="str">
        <f t="shared" si="1"/>
        <v>〿相邻3次</v>
      </c>
      <c r="F27" s="96" t="str">
        <f t="array" ref="F27">IF(COUNTIF(C$2:C27,C27)&gt;1, ROW()-MAX(IF(C$1:C26=C27,ROW(C$1:C26)))-1, "首次")</f>
        <v>首次</v>
      </c>
      <c r="G27" s="96" t="str">
        <f t="shared" si="2"/>
        <v>⚠️同节奏</v>
      </c>
      <c r="H27" s="96" t="str">
        <f t="shared" si="3"/>
        <v/>
      </c>
      <c r="I27" s="96"/>
      <c r="K27" t="s">
        <v>174</v>
      </c>
    </row>
    <row r="28" spans="1:11" ht="15" customHeight="1" x14ac:dyDescent="0.4">
      <c r="A28" s="94">
        <f t="shared" si="0"/>
        <v>27</v>
      </c>
      <c r="B28" s="94" t="str">
        <f>_xlfn.XLOOKUP($C28,舞种配比!$B$2:$B$91,舞种配比!$A$2:$A$91,"")</f>
        <v>表演</v>
      </c>
      <c r="C28" s="95"/>
      <c r="D28" s="94">
        <f>_xlfn.XLOOKUP($C28,舞种配比!$B$2:$B$91,舞种配比!$C$2:$C$91,"")</f>
        <v>0</v>
      </c>
      <c r="E28" s="105" t="str">
        <f t="shared" si="1"/>
        <v>〿相邻3次</v>
      </c>
      <c r="F28" s="96" t="str">
        <f t="array" ref="F28">IF(COUNTIF(C$2:C28,C28)&gt;1, ROW()-MAX(IF(C$1:C27=C28,ROW(C$1:C27)))-1, "首次")</f>
        <v>首次</v>
      </c>
      <c r="G28" s="96" t="str">
        <f t="shared" si="2"/>
        <v>⚠️同节奏</v>
      </c>
      <c r="H28" s="96" t="str">
        <f t="shared" si="3"/>
        <v/>
      </c>
      <c r="I28" s="96"/>
      <c r="K28" t="s">
        <v>175</v>
      </c>
    </row>
    <row r="29" spans="1:11" ht="15" customHeight="1" x14ac:dyDescent="0.4">
      <c r="A29" s="94">
        <f t="shared" si="0"/>
        <v>28</v>
      </c>
      <c r="B29" s="94" t="str">
        <f>_xlfn.XLOOKUP($C29,舞种配比!$B$2:$B$91,舞种配比!$A$2:$A$91,"")</f>
        <v>表演</v>
      </c>
      <c r="C29" s="95"/>
      <c r="D29" s="94">
        <f>_xlfn.XLOOKUP($C29,舞种配比!$B$2:$B$91,舞种配比!$C$2:$C$91,"")</f>
        <v>0</v>
      </c>
      <c r="E29" s="105" t="str">
        <f t="shared" si="1"/>
        <v>〿相邻3次</v>
      </c>
      <c r="F29" s="96" t="str">
        <f t="array" ref="F29">IF(COUNTIF(C$2:C29,C29)&gt;1, ROW()-MAX(IF(C$1:C28=C29,ROW(C$1:C28)))-1, "首次")</f>
        <v>首次</v>
      </c>
      <c r="G29" s="96" t="str">
        <f t="shared" si="2"/>
        <v>⚠️同节奏</v>
      </c>
      <c r="H29" s="96" t="str">
        <f t="shared" si="3"/>
        <v/>
      </c>
      <c r="I29" s="96"/>
      <c r="K29" t="s">
        <v>176</v>
      </c>
    </row>
    <row r="30" spans="1:11" ht="15" customHeight="1" x14ac:dyDescent="0.4">
      <c r="A30" s="94">
        <f t="shared" si="0"/>
        <v>29</v>
      </c>
      <c r="B30" s="94" t="str">
        <f>_xlfn.XLOOKUP($C30,舞种配比!$B$2:$B$91,舞种配比!$A$2:$A$91,"")</f>
        <v>表演</v>
      </c>
      <c r="C30" s="95"/>
      <c r="D30" s="94">
        <f>_xlfn.XLOOKUP($C30,舞种配比!$B$2:$B$91,舞种配比!$C$2:$C$91,"")</f>
        <v>0</v>
      </c>
      <c r="E30" s="105" t="str">
        <f t="shared" si="1"/>
        <v>〿相邻3次</v>
      </c>
      <c r="F30" s="96" t="str">
        <f t="array" ref="F30">IF(COUNTIF(C$2:C30,C30)&gt;1, ROW()-MAX(IF(C$1:C29=C30,ROW(C$1:C29)))-1, "首次")</f>
        <v>首次</v>
      </c>
      <c r="G30" s="96" t="str">
        <f t="shared" si="2"/>
        <v>⚠️同节奏</v>
      </c>
      <c r="H30" s="96" t="str">
        <f t="shared" si="3"/>
        <v/>
      </c>
      <c r="I30" s="96"/>
      <c r="K30" t="s">
        <v>177</v>
      </c>
    </row>
    <row r="31" spans="1:11" ht="15" customHeight="1" x14ac:dyDescent="0.4">
      <c r="A31" s="94">
        <f t="shared" si="0"/>
        <v>30</v>
      </c>
      <c r="B31" s="94" t="str">
        <f>_xlfn.XLOOKUP($C31,舞种配比!$B$2:$B$91,舞种配比!$A$2:$A$91,"")</f>
        <v>表演</v>
      </c>
      <c r="C31" s="95"/>
      <c r="D31" s="94">
        <f>_xlfn.XLOOKUP($C31,舞种配比!$B$2:$B$91,舞种配比!$C$2:$C$91,"")</f>
        <v>0</v>
      </c>
      <c r="E31" s="105" t="str">
        <f t="shared" si="1"/>
        <v>〿相邻3次</v>
      </c>
      <c r="F31" s="96" t="str">
        <f t="array" ref="F31">IF(COUNTIF(C$2:C31,C31)&gt;1, ROW()-MAX(IF(C$1:C30=C31,ROW(C$1:C30)))-1, "首次")</f>
        <v>首次</v>
      </c>
      <c r="G31" s="96" t="str">
        <f t="shared" si="2"/>
        <v>⚠️同节奏</v>
      </c>
      <c r="H31" s="96" t="str">
        <f t="shared" si="3"/>
        <v/>
      </c>
      <c r="I31" s="96"/>
      <c r="K31" t="s">
        <v>178</v>
      </c>
    </row>
    <row r="32" spans="1:11" ht="15" customHeight="1" x14ac:dyDescent="0.4">
      <c r="A32" s="94">
        <f t="shared" si="0"/>
        <v>31</v>
      </c>
      <c r="B32" s="94" t="str">
        <f>_xlfn.XLOOKUP($C32,舞种配比!$B$2:$B$91,舞种配比!$A$2:$A$91,"")</f>
        <v>表演</v>
      </c>
      <c r="C32" s="95"/>
      <c r="D32" s="94">
        <f>_xlfn.XLOOKUP($C32,舞种配比!$B$2:$B$91,舞种配比!$C$2:$C$91,"")</f>
        <v>0</v>
      </c>
      <c r="E32" s="105" t="str">
        <f t="shared" si="1"/>
        <v>〿相邻3次</v>
      </c>
      <c r="F32" s="96" t="str">
        <f t="array" ref="F32">IF(COUNTIF(C$2:C32,C32)&gt;1, ROW()-MAX(IF(C$1:C31=C32,ROW(C$1:C31)))-1, "首次")</f>
        <v>首次</v>
      </c>
      <c r="G32" s="96" t="str">
        <f t="shared" si="2"/>
        <v>⚠️同节奏</v>
      </c>
      <c r="H32" s="96" t="str">
        <f t="shared" si="3"/>
        <v/>
      </c>
      <c r="I32" s="96"/>
      <c r="K32" t="s">
        <v>179</v>
      </c>
    </row>
    <row r="33" spans="1:11" ht="15" customHeight="1" x14ac:dyDescent="0.4">
      <c r="A33" s="94">
        <f t="shared" si="0"/>
        <v>32</v>
      </c>
      <c r="B33" s="94" t="str">
        <f>_xlfn.XLOOKUP($C33,舞种配比!$B$2:$B$91,舞种配比!$A$2:$A$91,"")</f>
        <v>表演</v>
      </c>
      <c r="C33" s="95"/>
      <c r="D33" s="94">
        <f>_xlfn.XLOOKUP($C33,舞种配比!$B$2:$B$91,舞种配比!$C$2:$C$91,"")</f>
        <v>0</v>
      </c>
      <c r="E33" s="105" t="str">
        <f t="shared" si="1"/>
        <v>〿相邻3次</v>
      </c>
      <c r="F33" s="96" t="str">
        <f t="array" ref="F33">IF(COUNTIF(C$2:C33,C33)&gt;1, ROW()-MAX(IF(C$1:C32=C33,ROW(C$1:C32)))-1, "首次")</f>
        <v>首次</v>
      </c>
      <c r="G33" s="96" t="str">
        <f t="shared" si="2"/>
        <v>⚠️同节奏</v>
      </c>
      <c r="H33" s="96" t="str">
        <f t="shared" si="3"/>
        <v/>
      </c>
      <c r="I33" s="96"/>
      <c r="K33" t="s">
        <v>180</v>
      </c>
    </row>
    <row r="34" spans="1:11" ht="15" customHeight="1" x14ac:dyDescent="0.4">
      <c r="A34" s="94">
        <f t="shared" ref="A34:A52" si="5">ROW()-1</f>
        <v>33</v>
      </c>
      <c r="B34" s="94" t="str">
        <f>_xlfn.XLOOKUP($C34,舞种配比!$B$2:$B$91,舞种配比!$A$2:$A$91,"")</f>
        <v>表演</v>
      </c>
      <c r="C34" s="95"/>
      <c r="D34" s="94">
        <f>_xlfn.XLOOKUP($C34,舞种配比!$B$2:$B$91,舞种配比!$C$2:$C$91,"")</f>
        <v>0</v>
      </c>
      <c r="E34" s="105" t="str">
        <f t="shared" ref="E34:E52" si="6">IF(ROW()&lt;4, "OK", IF(AND(B35=B34, B34=B33), "〿相邻3次", "OK"))</f>
        <v>〿相邻3次</v>
      </c>
      <c r="F34" s="96" t="str">
        <f t="array" ref="F34">IF(COUNTIF(C$2:C34,C34)&gt;1, ROW()-MAX(IF(C$1:C33=C34,ROW(C$1:C33)))-1, "首次")</f>
        <v>首次</v>
      </c>
      <c r="G34" s="96" t="str">
        <f t="shared" ref="G34:G52" si="7">IF(ROW()&gt;2, IF(D34=D33, "⚠️同节奏", "OK"), "OK")</f>
        <v>⚠️同节奏</v>
      </c>
      <c r="H34" s="96" t="str">
        <f t="shared" ref="H34:H52" si="8">IF(F34="首次","",IF(F34&lt;5,"⚠️间隔"&amp;F34&amp;"首","间隔"&amp;F34&amp;"首✓"))</f>
        <v/>
      </c>
      <c r="I34" s="96"/>
      <c r="K34" t="s">
        <v>181</v>
      </c>
    </row>
    <row r="35" spans="1:11" ht="15" customHeight="1" x14ac:dyDescent="0.4">
      <c r="A35" s="94">
        <f t="shared" si="5"/>
        <v>34</v>
      </c>
      <c r="B35" s="94" t="str">
        <f>_xlfn.XLOOKUP($C35,舞种配比!$B$2:$B$91,舞种配比!$A$2:$A$91,"")</f>
        <v>表演</v>
      </c>
      <c r="C35" s="95"/>
      <c r="D35" s="94">
        <f>_xlfn.XLOOKUP($C35,舞种配比!$B$2:$B$91,舞种配比!$C$2:$C$91,"")</f>
        <v>0</v>
      </c>
      <c r="E35" s="105" t="str">
        <f t="shared" si="6"/>
        <v>〿相邻3次</v>
      </c>
      <c r="F35" s="96" t="str">
        <f t="array" ref="F35">IF(COUNTIF(C$2:C35,C35)&gt;1, ROW()-MAX(IF(C$1:C34=C35,ROW(C$1:C34)))-1, "首次")</f>
        <v>首次</v>
      </c>
      <c r="G35" s="96" t="str">
        <f t="shared" si="7"/>
        <v>⚠️同节奏</v>
      </c>
      <c r="H35" s="96" t="str">
        <f t="shared" si="8"/>
        <v/>
      </c>
      <c r="I35" s="96"/>
      <c r="K35" t="s">
        <v>182</v>
      </c>
    </row>
    <row r="36" spans="1:11" ht="15" customHeight="1" x14ac:dyDescent="0.4">
      <c r="A36" s="94">
        <f t="shared" si="5"/>
        <v>35</v>
      </c>
      <c r="B36" s="94" t="str">
        <f>_xlfn.XLOOKUP($C36,舞种配比!$B$2:$B$91,舞种配比!$A$2:$A$91,"")</f>
        <v>表演</v>
      </c>
      <c r="C36" s="95"/>
      <c r="D36" s="94">
        <f>_xlfn.XLOOKUP($C36,舞种配比!$B$2:$B$91,舞种配比!$C$2:$C$91,"")</f>
        <v>0</v>
      </c>
      <c r="E36" s="105" t="str">
        <f t="shared" si="6"/>
        <v>〿相邻3次</v>
      </c>
      <c r="F36" s="96" t="str">
        <f t="array" ref="F36">IF(COUNTIF(C$2:C36,C36)&gt;1, ROW()-MAX(IF(C$1:C35=C36,ROW(C$1:C35)))-1, "首次")</f>
        <v>首次</v>
      </c>
      <c r="G36" s="96" t="str">
        <f t="shared" si="7"/>
        <v>⚠️同节奏</v>
      </c>
      <c r="H36" s="96" t="str">
        <f t="shared" si="8"/>
        <v/>
      </c>
      <c r="I36" s="96"/>
    </row>
    <row r="37" spans="1:11" ht="15" customHeight="1" x14ac:dyDescent="0.4">
      <c r="A37" s="94">
        <f t="shared" si="5"/>
        <v>36</v>
      </c>
      <c r="B37" s="94" t="str">
        <f>_xlfn.XLOOKUP($C37,舞种配比!$B$2:$B$91,舞种配比!$A$2:$A$91,"")</f>
        <v>表演</v>
      </c>
      <c r="C37" s="95"/>
      <c r="D37" s="94">
        <f>_xlfn.XLOOKUP($C37,舞种配比!$B$2:$B$91,舞种配比!$C$2:$C$91,"")</f>
        <v>0</v>
      </c>
      <c r="E37" s="105" t="str">
        <f t="shared" si="6"/>
        <v>〿相邻3次</v>
      </c>
      <c r="F37" s="96" t="str">
        <f t="array" ref="F37">IF(COUNTIF(C$2:C37,C37)&gt;1, ROW()-MAX(IF(C$1:C36=C37,ROW(C$1:C36)))-1, "首次")</f>
        <v>首次</v>
      </c>
      <c r="G37" s="96" t="str">
        <f t="shared" si="7"/>
        <v>⚠️同节奏</v>
      </c>
      <c r="H37" s="96" t="str">
        <f t="shared" si="8"/>
        <v/>
      </c>
      <c r="I37" s="96"/>
    </row>
    <row r="38" spans="1:11" ht="15" customHeight="1" x14ac:dyDescent="0.4">
      <c r="A38" s="94">
        <f t="shared" si="5"/>
        <v>37</v>
      </c>
      <c r="B38" s="94" t="str">
        <f>_xlfn.XLOOKUP($C38,舞种配比!$B$2:$B$91,舞种配比!$A$2:$A$91,"")</f>
        <v>表演</v>
      </c>
      <c r="C38" s="95"/>
      <c r="D38" s="94">
        <f>_xlfn.XLOOKUP($C38,舞种配比!$B$2:$B$91,舞种配比!$C$2:$C$91,"")</f>
        <v>0</v>
      </c>
      <c r="E38" s="105" t="str">
        <f t="shared" si="6"/>
        <v>〿相邻3次</v>
      </c>
      <c r="F38" s="96" t="str">
        <f t="array" ref="F38">IF(COUNTIF(C$2:C38,C38)&gt;1, ROW()-MAX(IF(C$1:C37=C38,ROW(C$1:C37)))-1, "首次")</f>
        <v>首次</v>
      </c>
      <c r="G38" s="96" t="str">
        <f t="shared" si="7"/>
        <v>⚠️同节奏</v>
      </c>
      <c r="H38" s="96" t="str">
        <f t="shared" si="8"/>
        <v/>
      </c>
      <c r="I38" s="96"/>
    </row>
    <row r="39" spans="1:11" ht="15" customHeight="1" x14ac:dyDescent="0.4">
      <c r="A39" s="94">
        <f t="shared" si="5"/>
        <v>38</v>
      </c>
      <c r="B39" s="94" t="str">
        <f>_xlfn.XLOOKUP($C39,舞种配比!$B$2:$B$91,舞种配比!$A$2:$A$91,"")</f>
        <v>表演</v>
      </c>
      <c r="C39" s="95"/>
      <c r="D39" s="94">
        <f>_xlfn.XLOOKUP($C39,舞种配比!$B$2:$B$91,舞种配比!$C$2:$C$91,"")</f>
        <v>0</v>
      </c>
      <c r="E39" s="105" t="str">
        <f t="shared" si="6"/>
        <v>〿相邻3次</v>
      </c>
      <c r="F39" s="96" t="str">
        <f t="array" ref="F39">IF(COUNTIF(C$2:C39,C39)&gt;1, ROW()-MAX(IF(C$1:C38=C39,ROW(C$1:C38)))-1, "首次")</f>
        <v>首次</v>
      </c>
      <c r="G39" s="96" t="str">
        <f t="shared" si="7"/>
        <v>⚠️同节奏</v>
      </c>
      <c r="H39" s="96" t="str">
        <f t="shared" si="8"/>
        <v/>
      </c>
      <c r="I39" s="96"/>
    </row>
    <row r="40" spans="1:11" ht="15" customHeight="1" x14ac:dyDescent="0.4">
      <c r="A40" s="94">
        <f t="shared" si="5"/>
        <v>39</v>
      </c>
      <c r="B40" s="94" t="str">
        <f>_xlfn.XLOOKUP($C40,舞种配比!$B$2:$B$91,舞种配比!$A$2:$A$91,"")</f>
        <v>表演</v>
      </c>
      <c r="C40" s="95"/>
      <c r="D40" s="94">
        <f>_xlfn.XLOOKUP($C40,舞种配比!$B$2:$B$91,舞种配比!$C$2:$C$91,"")</f>
        <v>0</v>
      </c>
      <c r="E40" s="105" t="str">
        <f t="shared" si="6"/>
        <v>〿相邻3次</v>
      </c>
      <c r="F40" s="96" t="str">
        <f t="array" ref="F40">IF(COUNTIF(C$2:C40,C40)&gt;1, ROW()-MAX(IF(C$1:C39=C40,ROW(C$1:C39)))-1, "首次")</f>
        <v>首次</v>
      </c>
      <c r="G40" s="96" t="str">
        <f t="shared" si="7"/>
        <v>⚠️同节奏</v>
      </c>
      <c r="H40" s="96" t="str">
        <f t="shared" si="8"/>
        <v/>
      </c>
      <c r="I40" s="96"/>
    </row>
    <row r="41" spans="1:11" ht="15" customHeight="1" x14ac:dyDescent="0.4">
      <c r="A41" s="94">
        <f t="shared" si="5"/>
        <v>40</v>
      </c>
      <c r="B41" s="94" t="str">
        <f>_xlfn.XLOOKUP($C41,舞种配比!$B$2:$B$91,舞种配比!$A$2:$A$91,"")</f>
        <v>表演</v>
      </c>
      <c r="C41" s="95"/>
      <c r="D41" s="94">
        <f>_xlfn.XLOOKUP($C41,舞种配比!$B$2:$B$91,舞种配比!$C$2:$C$91,"")</f>
        <v>0</v>
      </c>
      <c r="E41" s="105" t="str">
        <f t="shared" si="6"/>
        <v>〿相邻3次</v>
      </c>
      <c r="F41" s="96" t="str">
        <f t="array" ref="F41">IF(COUNTIF(C$2:C41,C41)&gt;1, ROW()-MAX(IF(C$1:C40=C41,ROW(C$1:C40)))-1, "首次")</f>
        <v>首次</v>
      </c>
      <c r="G41" s="96" t="str">
        <f t="shared" si="7"/>
        <v>⚠️同节奏</v>
      </c>
      <c r="H41" s="96" t="str">
        <f t="shared" si="8"/>
        <v/>
      </c>
      <c r="I41" s="96"/>
    </row>
    <row r="42" spans="1:11" ht="15" customHeight="1" x14ac:dyDescent="0.4">
      <c r="A42" s="94">
        <f t="shared" si="5"/>
        <v>41</v>
      </c>
      <c r="B42" s="94" t="str">
        <f>_xlfn.XLOOKUP($C42,舞种配比!$B$2:$B$91,舞种配比!$A$2:$A$91,"")</f>
        <v>表演</v>
      </c>
      <c r="C42" s="95"/>
      <c r="D42" s="94">
        <f>_xlfn.XLOOKUP($C42,舞种配比!$B$2:$B$91,舞种配比!$C$2:$C$91,"")</f>
        <v>0</v>
      </c>
      <c r="E42" s="105" t="str">
        <f t="shared" si="6"/>
        <v>〿相邻3次</v>
      </c>
      <c r="F42" s="96" t="str">
        <f t="array" ref="F42">IF(COUNTIF(C$2:C42,C42)&gt;1, ROW()-MAX(IF(C$1:C41=C42,ROW(C$1:C41)))-1, "首次")</f>
        <v>首次</v>
      </c>
      <c r="G42" s="96" t="str">
        <f t="shared" si="7"/>
        <v>⚠️同节奏</v>
      </c>
      <c r="H42" s="96" t="str">
        <f t="shared" si="8"/>
        <v/>
      </c>
      <c r="I42" s="96"/>
    </row>
    <row r="43" spans="1:11" ht="15" customHeight="1" x14ac:dyDescent="0.4">
      <c r="A43" s="94">
        <f t="shared" si="5"/>
        <v>42</v>
      </c>
      <c r="B43" s="94" t="str">
        <f>_xlfn.XLOOKUP($C43,舞种配比!$B$2:$B$91,舞种配比!$A$2:$A$91,"")</f>
        <v>表演</v>
      </c>
      <c r="C43" s="95"/>
      <c r="D43" s="94">
        <f>_xlfn.XLOOKUP($C43,舞种配比!$B$2:$B$91,舞种配比!$C$2:$C$91,"")</f>
        <v>0</v>
      </c>
      <c r="E43" s="105" t="str">
        <f t="shared" si="6"/>
        <v>〿相邻3次</v>
      </c>
      <c r="F43" s="96" t="str">
        <f t="array" ref="F43">IF(COUNTIF(C$2:C43,C43)&gt;1, ROW()-MAX(IF(C$1:C42=C43,ROW(C$1:C42)))-1, "首次")</f>
        <v>首次</v>
      </c>
      <c r="G43" s="96" t="str">
        <f t="shared" si="7"/>
        <v>⚠️同节奏</v>
      </c>
      <c r="H43" s="96" t="str">
        <f t="shared" si="8"/>
        <v/>
      </c>
      <c r="I43" s="96"/>
    </row>
    <row r="44" spans="1:11" ht="15" customHeight="1" x14ac:dyDescent="0.4">
      <c r="A44" s="94">
        <f t="shared" si="5"/>
        <v>43</v>
      </c>
      <c r="B44" s="94" t="str">
        <f>_xlfn.XLOOKUP($C44,舞种配比!$B$2:$B$91,舞种配比!$A$2:$A$91,"")</f>
        <v>表演</v>
      </c>
      <c r="C44" s="95"/>
      <c r="D44" s="94">
        <f>_xlfn.XLOOKUP($C44,舞种配比!$B$2:$B$91,舞种配比!$C$2:$C$91,"")</f>
        <v>0</v>
      </c>
      <c r="E44" s="105" t="str">
        <f t="shared" si="6"/>
        <v>〿相邻3次</v>
      </c>
      <c r="F44" s="96" t="str">
        <f t="array" ref="F44">IF(COUNTIF(C$2:C44,C44)&gt;1, ROW()-MAX(IF(C$1:C43=C44,ROW(C$1:C43)))-1, "首次")</f>
        <v>首次</v>
      </c>
      <c r="G44" s="96" t="str">
        <f t="shared" si="7"/>
        <v>⚠️同节奏</v>
      </c>
      <c r="H44" s="96" t="str">
        <f t="shared" si="8"/>
        <v/>
      </c>
      <c r="I44" s="96"/>
    </row>
    <row r="45" spans="1:11" ht="15" customHeight="1" x14ac:dyDescent="0.4">
      <c r="A45" s="94">
        <f t="shared" si="5"/>
        <v>44</v>
      </c>
      <c r="B45" s="94" t="str">
        <f>_xlfn.XLOOKUP($C45,舞种配比!$B$2:$B$91,舞种配比!$A$2:$A$91,"")</f>
        <v>表演</v>
      </c>
      <c r="C45" s="95"/>
      <c r="D45" s="94">
        <f>_xlfn.XLOOKUP($C45,舞种配比!$B$2:$B$91,舞种配比!$C$2:$C$91,"")</f>
        <v>0</v>
      </c>
      <c r="E45" s="105" t="str">
        <f t="shared" si="6"/>
        <v>〿相邻3次</v>
      </c>
      <c r="F45" s="96" t="str">
        <f t="array" ref="F45">IF(COUNTIF(C$2:C45,C45)&gt;1, ROW()-MAX(IF(C$1:C44=C45,ROW(C$1:C44)))-1, "首次")</f>
        <v>首次</v>
      </c>
      <c r="G45" s="96" t="str">
        <f t="shared" si="7"/>
        <v>⚠️同节奏</v>
      </c>
      <c r="H45" s="96" t="str">
        <f t="shared" si="8"/>
        <v/>
      </c>
      <c r="I45" s="96"/>
    </row>
    <row r="46" spans="1:11" ht="15" customHeight="1" x14ac:dyDescent="0.4">
      <c r="A46" s="94">
        <f t="shared" si="5"/>
        <v>45</v>
      </c>
      <c r="B46" s="94" t="str">
        <f>_xlfn.XLOOKUP($C46,舞种配比!$B$2:$B$91,舞种配比!$A$2:$A$91,"")</f>
        <v>表演</v>
      </c>
      <c r="C46" s="95"/>
      <c r="D46" s="94">
        <f>_xlfn.XLOOKUP($C46,舞种配比!$B$2:$B$91,舞种配比!$C$2:$C$91,"")</f>
        <v>0</v>
      </c>
      <c r="E46" s="105" t="str">
        <f t="shared" si="6"/>
        <v>〿相邻3次</v>
      </c>
      <c r="F46" s="96" t="str">
        <f t="array" ref="F46">IF(COUNTIF(C$2:C46,C46)&gt;1, ROW()-MAX(IF(C$1:C45=C46,ROW(C$1:C45)))-1, "首次")</f>
        <v>首次</v>
      </c>
      <c r="G46" s="96" t="str">
        <f t="shared" si="7"/>
        <v>⚠️同节奏</v>
      </c>
      <c r="H46" s="96" t="str">
        <f t="shared" si="8"/>
        <v/>
      </c>
      <c r="I46" s="96"/>
    </row>
    <row r="47" spans="1:11" ht="15" customHeight="1" x14ac:dyDescent="0.4">
      <c r="A47" s="94">
        <f t="shared" si="5"/>
        <v>46</v>
      </c>
      <c r="B47" s="94" t="str">
        <f>_xlfn.XLOOKUP($C47,舞种配比!$B$2:$B$91,舞种配比!$A$2:$A$91,"")</f>
        <v>表演</v>
      </c>
      <c r="C47" s="95"/>
      <c r="D47" s="94">
        <f>_xlfn.XLOOKUP($C47,舞种配比!$B$2:$B$91,舞种配比!$C$2:$C$91,"")</f>
        <v>0</v>
      </c>
      <c r="E47" s="105" t="str">
        <f t="shared" si="6"/>
        <v>〿相邻3次</v>
      </c>
      <c r="F47" s="96" t="str">
        <f t="array" ref="F47">IF(COUNTIF(C$2:C47,C47)&gt;1, ROW()-MAX(IF(C$1:C46=C47,ROW(C$1:C46)))-1, "首次")</f>
        <v>首次</v>
      </c>
      <c r="G47" s="96" t="str">
        <f t="shared" si="7"/>
        <v>⚠️同节奏</v>
      </c>
      <c r="H47" s="96" t="str">
        <f t="shared" si="8"/>
        <v/>
      </c>
      <c r="I47" s="96"/>
    </row>
    <row r="48" spans="1:11" ht="15" customHeight="1" x14ac:dyDescent="0.4">
      <c r="A48" s="94">
        <f t="shared" si="5"/>
        <v>47</v>
      </c>
      <c r="B48" s="94" t="str">
        <f>_xlfn.XLOOKUP($C48,舞种配比!$B$2:$B$91,舞种配比!$A$2:$A$91,"")</f>
        <v>表演</v>
      </c>
      <c r="C48" s="95"/>
      <c r="D48" s="94">
        <f>_xlfn.XLOOKUP($C48,舞种配比!$B$2:$B$91,舞种配比!$C$2:$C$91,"")</f>
        <v>0</v>
      </c>
      <c r="E48" s="105" t="str">
        <f t="shared" si="6"/>
        <v>〿相邻3次</v>
      </c>
      <c r="F48" s="96" t="str">
        <f t="array" ref="F48">IF(COUNTIF(C$2:C48,C48)&gt;1, ROW()-MAX(IF(C$1:C47=C48,ROW(C$1:C47)))-1, "首次")</f>
        <v>首次</v>
      </c>
      <c r="G48" s="96" t="str">
        <f t="shared" si="7"/>
        <v>⚠️同节奏</v>
      </c>
      <c r="H48" s="96" t="str">
        <f t="shared" si="8"/>
        <v/>
      </c>
      <c r="I48" s="96"/>
    </row>
    <row r="49" spans="1:9" ht="15" customHeight="1" x14ac:dyDescent="0.4">
      <c r="A49" s="94">
        <f t="shared" si="5"/>
        <v>48</v>
      </c>
      <c r="B49" s="94" t="str">
        <f>_xlfn.XLOOKUP($C49,舞种配比!$B$2:$B$91,舞种配比!$A$2:$A$91,"")</f>
        <v>表演</v>
      </c>
      <c r="C49" s="95"/>
      <c r="D49" s="94">
        <f>_xlfn.XLOOKUP($C49,舞种配比!$B$2:$B$91,舞种配比!$C$2:$C$91,"")</f>
        <v>0</v>
      </c>
      <c r="E49" s="105" t="str">
        <f t="shared" si="6"/>
        <v>〿相邻3次</v>
      </c>
      <c r="F49" s="96" t="str">
        <f t="array" ref="F49">IF(COUNTIF(C$2:C49,C49)&gt;1, ROW()-MAX(IF(C$1:C48=C49,ROW(C$1:C48)))-1, "首次")</f>
        <v>首次</v>
      </c>
      <c r="G49" s="96" t="str">
        <f t="shared" si="7"/>
        <v>⚠️同节奏</v>
      </c>
      <c r="H49" s="96" t="str">
        <f t="shared" si="8"/>
        <v/>
      </c>
      <c r="I49" s="96"/>
    </row>
    <row r="50" spans="1:9" ht="15" customHeight="1" x14ac:dyDescent="0.4">
      <c r="A50" s="94">
        <f t="shared" si="5"/>
        <v>49</v>
      </c>
      <c r="B50" s="94" t="str">
        <f>_xlfn.XLOOKUP($C50,舞种配比!$B$2:$B$91,舞种配比!$A$2:$A$91,"")</f>
        <v>表演</v>
      </c>
      <c r="C50" s="95"/>
      <c r="D50" s="94">
        <f>_xlfn.XLOOKUP($C50,舞种配比!$B$2:$B$91,舞种配比!$C$2:$C$91,"")</f>
        <v>0</v>
      </c>
      <c r="E50" s="105" t="str">
        <f t="shared" si="6"/>
        <v>〿相邻3次</v>
      </c>
      <c r="F50" s="96" t="str">
        <f t="array" ref="F50">IF(COUNTIF(C$2:C50,C50)&gt;1, ROW()-MAX(IF(C$1:C49=C50,ROW(C$1:C49)))-1, "首次")</f>
        <v>首次</v>
      </c>
      <c r="G50" s="96" t="str">
        <f t="shared" si="7"/>
        <v>⚠️同节奏</v>
      </c>
      <c r="H50" s="96" t="str">
        <f t="shared" si="8"/>
        <v/>
      </c>
      <c r="I50" s="96"/>
    </row>
    <row r="51" spans="1:9" ht="15" customHeight="1" x14ac:dyDescent="0.4">
      <c r="A51" s="94">
        <f t="shared" si="5"/>
        <v>50</v>
      </c>
      <c r="B51" s="94" t="str">
        <f>_xlfn.XLOOKUP($C51,舞种配比!$B$2:$B$91,舞种配比!$A$2:$A$91,"")</f>
        <v>表演</v>
      </c>
      <c r="C51" s="95"/>
      <c r="D51" s="94">
        <f>_xlfn.XLOOKUP($C51,舞种配比!$B$2:$B$91,舞种配比!$C$2:$C$91,"")</f>
        <v>0</v>
      </c>
      <c r="E51" s="105" t="str">
        <f t="shared" si="6"/>
        <v>〿相邻3次</v>
      </c>
      <c r="F51" s="96" t="str">
        <f t="array" ref="F51">IF(COUNTIF(C$2:C51,C51)&gt;1, ROW()-MAX(IF(C$1:C50=C51,ROW(C$1:C50)))-1, "首次")</f>
        <v>首次</v>
      </c>
      <c r="G51" s="96" t="str">
        <f t="shared" si="7"/>
        <v>⚠️同节奏</v>
      </c>
      <c r="H51" s="96" t="str">
        <f t="shared" si="8"/>
        <v/>
      </c>
      <c r="I51" s="96"/>
    </row>
    <row r="52" spans="1:9" ht="15" customHeight="1" x14ac:dyDescent="0.4">
      <c r="A52" s="94">
        <f t="shared" si="5"/>
        <v>51</v>
      </c>
      <c r="B52" s="94" t="str">
        <f>_xlfn.XLOOKUP($C52,舞种配比!$B$2:$B$91,舞种配比!$A$2:$A$91,"")</f>
        <v>表演</v>
      </c>
      <c r="C52" s="95"/>
      <c r="D52" s="94">
        <f>_xlfn.XLOOKUP($C52,舞种配比!$B$2:$B$91,舞种配比!$C$2:$C$91,"")</f>
        <v>0</v>
      </c>
      <c r="E52" s="105" t="str">
        <f t="shared" si="6"/>
        <v>OK</v>
      </c>
      <c r="F52" s="96" t="str">
        <f t="array" ref="F52">IF(COUNTIF(C$2:C52,C52)&gt;1, ROW()-MAX(IF(C$1:C51=C52,ROW(C$1:C51)))-1, "首次")</f>
        <v>首次</v>
      </c>
      <c r="G52" s="96" t="str">
        <f t="shared" si="7"/>
        <v>⚠️同节奏</v>
      </c>
      <c r="H52" s="96" t="str">
        <f t="shared" si="8"/>
        <v/>
      </c>
      <c r="I52" s="96"/>
    </row>
    <row r="53" spans="1:9" ht="15" customHeight="1" x14ac:dyDescent="0.4">
      <c r="A53" s="96"/>
      <c r="B53" s="96"/>
      <c r="C53" s="96"/>
      <c r="D53" s="96"/>
      <c r="E53" s="96"/>
      <c r="F53" s="96"/>
      <c r="G53" s="96"/>
      <c r="H53" s="96"/>
      <c r="I53" s="96"/>
    </row>
    <row r="54" spans="1:9" ht="15" customHeight="1" x14ac:dyDescent="0.4">
      <c r="A54" s="96"/>
      <c r="B54" s="96"/>
      <c r="C54" s="96"/>
      <c r="D54" s="96"/>
      <c r="E54" s="96"/>
      <c r="F54" s="96"/>
      <c r="G54" s="96"/>
      <c r="H54" s="96"/>
      <c r="I54" s="96"/>
    </row>
    <row r="55" spans="1:9" ht="15" customHeight="1" x14ac:dyDescent="0.4">
      <c r="A55" s="96"/>
      <c r="B55" s="96"/>
      <c r="C55" s="96"/>
      <c r="D55" s="96"/>
      <c r="E55" s="96"/>
      <c r="F55" s="96"/>
      <c r="G55" s="96"/>
      <c r="H55" s="96"/>
      <c r="I55" s="96"/>
    </row>
  </sheetData>
  <phoneticPr fontId="1" type="noConversion"/>
  <conditionalFormatting sqref="A1:I52">
    <cfRule type="expression" dxfId="23" priority="7">
      <formula>(CELL("row")=ROW())+(CELL("col")=COLUMN())</formula>
    </cfRule>
  </conditionalFormatting>
  <conditionalFormatting sqref="B2:B52">
    <cfRule type="containsText" dxfId="22" priority="8" operator="containsText" text="网红舞">
      <formula>NOT(ISERROR(SEARCH("网红舞",B2)))</formula>
    </cfRule>
    <cfRule type="containsText" dxfId="21" priority="9" operator="containsText" text="集体舞">
      <formula>NOT(ISERROR(SEARCH("集体舞",B2)))</formula>
    </cfRule>
    <cfRule type="containsText" dxfId="20" priority="10" operator="containsText" text="交谊舞">
      <formula>NOT(ISERROR(SEARCH("交谊舞",B2)))</formula>
    </cfRule>
    <cfRule type="containsText" dxfId="19" priority="11" operator="containsText" text="地方舞">
      <formula>NOT(ISERROR(SEARCH("地方舞",B2)))</formula>
    </cfRule>
    <cfRule type="containsText" dxfId="18" priority="12" operator="containsText" text="拉丁舞">
      <formula>NOT(ISERROR(SEARCH("拉丁舞",B2)))</formula>
    </cfRule>
    <cfRule type="containsText" dxfId="17" priority="13" operator="containsText" text="摩登舞">
      <formula>NOT(ISERROR(SEARCH("摩登舞",B2)))</formula>
    </cfRule>
  </conditionalFormatting>
  <conditionalFormatting sqref="C2:C52">
    <cfRule type="expression" dxfId="16" priority="2">
      <formula>ISNUMBER(SEARCH("⚠️",$H2))</formula>
    </cfRule>
  </conditionalFormatting>
  <conditionalFormatting sqref="C2:D52">
    <cfRule type="expression" dxfId="15" priority="3">
      <formula>$G2="⚠️同节奏"</formula>
    </cfRule>
  </conditionalFormatting>
  <conditionalFormatting sqref="D2:E52">
    <cfRule type="containsText" dxfId="14" priority="14" operator="containsText" text="快">
      <formula>NOT(ISERROR(SEARCH("快",D2)))</formula>
    </cfRule>
    <cfRule type="containsText" dxfId="13" priority="15" operator="containsText" text="中">
      <formula>NOT(ISERROR(SEARCH("中",D2)))</formula>
    </cfRule>
    <cfRule type="containsText" dxfId="12" priority="16" operator="containsText" text="慢">
      <formula>NOT(ISERROR(SEARCH("慢",D2)))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J54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3.9" x14ac:dyDescent="0.4"/>
  <cols>
    <col min="1" max="1" width="9.46484375" style="6" bestFit="1" customWidth="1"/>
    <col min="2" max="2" width="9.46484375" style="6" customWidth="1"/>
    <col min="3" max="3" width="7.33203125" style="6" bestFit="1" customWidth="1"/>
    <col min="4" max="4" width="7.33203125" style="6" customWidth="1"/>
    <col min="5" max="5" width="50.3984375" style="6" customWidth="1"/>
    <col min="6" max="6" width="8.53125" style="6" customWidth="1"/>
    <col min="7" max="7" width="9.06640625" style="6" customWidth="1"/>
    <col min="8" max="8" width="13.1328125" style="6" customWidth="1"/>
    <col min="10" max="10" width="9.06640625" style="116" customWidth="1"/>
  </cols>
  <sheetData>
    <row r="1" spans="1:10" s="3" customFormat="1" ht="15.4" customHeight="1" x14ac:dyDescent="0.4">
      <c r="A1" s="2" t="s">
        <v>142</v>
      </c>
      <c r="B1" s="2" t="s">
        <v>18</v>
      </c>
      <c r="C1" s="2" t="s">
        <v>19</v>
      </c>
      <c r="D1" s="2" t="s">
        <v>20</v>
      </c>
      <c r="E1" s="13" t="s">
        <v>183</v>
      </c>
      <c r="F1" s="2" t="s">
        <v>184</v>
      </c>
      <c r="G1" s="73" t="s">
        <v>185</v>
      </c>
      <c r="H1" s="73" t="s">
        <v>186</v>
      </c>
      <c r="I1" s="77">
        <v>0.8125</v>
      </c>
      <c r="J1" s="3" t="s">
        <v>187</v>
      </c>
    </row>
    <row r="2" spans="1:10" x14ac:dyDescent="0.4">
      <c r="A2" s="4">
        <f t="shared" ref="A2:A33" si="0">ROW()-1</f>
        <v>1</v>
      </c>
      <c r="B2" s="4" t="str">
        <f>_xlfn.XLOOKUP($C2,舞种配比!$B$2:$B$91,舞种配比!$A$2:$A$91,"")</f>
        <v/>
      </c>
      <c r="C2" s="15" t="str">
        <f t="array" ref="C2">_xlfn.LET(
   _xlpm.keywords, _xlfn.SORTBY(舞种配比!$B$2:$B$50, LEN(舞种配比!$B$2:$B$50), -1),
   _xlfn.XLOOKUP(TRUE, ISNUMBER(SEARCH(_xlpm.keywords, E2)), _xlpm.keywords, "")
)</f>
        <v/>
      </c>
      <c r="D2" s="5" t="str">
        <f>_xlfn.XLOOKUP($C2,舞种配比!$B$2:$B$91,舞种配比!$C$2:$C$91,"")</f>
        <v/>
      </c>
      <c r="E2" s="9"/>
      <c r="F2" s="62"/>
      <c r="G2" s="74">
        <v>0</v>
      </c>
      <c r="H2" s="75">
        <v>3</v>
      </c>
      <c r="I2" s="76">
        <f t="shared" ref="I2:I33" si="1">$I1+TIME(0,0,15)+$F2</f>
        <v>0.81267361111111114</v>
      </c>
      <c r="J2" s="65" t="e">
        <f t="shared" ref="J2:J33" si="2">"ren """ &amp; E2 &amp; """ """ &amp; TEXT(ROW(A1),"00") &amp; "-" &amp; LEFT(E2,FIND(".",E2)-1) &amp; MID(E2,FIND(".",E2),LEN(E2)) &amp; """"</f>
        <v>#VALUE!</v>
      </c>
    </row>
    <row r="3" spans="1:10" x14ac:dyDescent="0.4">
      <c r="A3" s="4">
        <f t="shared" si="0"/>
        <v>2</v>
      </c>
      <c r="B3" s="4" t="str">
        <f>_xlfn.XLOOKUP($C3,舞种配比!$B$2:$B$91,舞种配比!$A$2:$A$91,"")</f>
        <v/>
      </c>
      <c r="C3" s="15" t="str">
        <f t="array" ref="C3">_xlfn.LET(
   _xlpm.keywords, _xlfn.SORTBY(舞种配比!$B$2:$B$50, LEN(舞种配比!$B$2:$B$50), -1),
   _xlfn.XLOOKUP(TRUE, ISNUMBER(SEARCH(_xlpm.keywords, E3)), _xlpm.keywords, "")
)</f>
        <v/>
      </c>
      <c r="D3" s="5" t="str">
        <f>_xlfn.XLOOKUP($C3,舞种配比!$B$2:$B$91,舞种配比!$C$2:$C$91,"")</f>
        <v/>
      </c>
      <c r="E3" s="9"/>
      <c r="F3" s="62"/>
      <c r="G3" s="74">
        <v>0</v>
      </c>
      <c r="H3" s="75">
        <v>3</v>
      </c>
      <c r="I3" s="76">
        <f t="shared" si="1"/>
        <v>0.81284722222222228</v>
      </c>
      <c r="J3" s="65" t="e">
        <f t="shared" si="2"/>
        <v>#VALUE!</v>
      </c>
    </row>
    <row r="4" spans="1:10" x14ac:dyDescent="0.4">
      <c r="A4" s="4">
        <f t="shared" si="0"/>
        <v>3</v>
      </c>
      <c r="B4" s="4" t="str">
        <f>_xlfn.XLOOKUP($C4,舞种配比!$B$2:$B$91,舞种配比!$A$2:$A$91,"")</f>
        <v/>
      </c>
      <c r="C4" s="15" t="str">
        <f t="array" ref="C4">_xlfn.LET(
   _xlpm.keywords, _xlfn.SORTBY(舞种配比!$B$2:$B$50, LEN(舞种配比!$B$2:$B$50), -1),
   _xlfn.XLOOKUP(TRUE, ISNUMBER(SEARCH(_xlpm.keywords, E4)), _xlpm.keywords, "")
)</f>
        <v/>
      </c>
      <c r="D4" s="5" t="str">
        <f>_xlfn.XLOOKUP($C4,舞种配比!$B$2:$B$91,舞种配比!$C$2:$C$91,"")</f>
        <v/>
      </c>
      <c r="E4" s="9"/>
      <c r="F4" s="62"/>
      <c r="G4" s="74">
        <v>0</v>
      </c>
      <c r="H4" s="75">
        <v>3</v>
      </c>
      <c r="I4" s="76">
        <f t="shared" si="1"/>
        <v>0.81302083333333341</v>
      </c>
      <c r="J4" s="65" t="e">
        <f t="shared" si="2"/>
        <v>#VALUE!</v>
      </c>
    </row>
    <row r="5" spans="1:10" x14ac:dyDescent="0.4">
      <c r="A5" s="4">
        <f t="shared" si="0"/>
        <v>4</v>
      </c>
      <c r="B5" s="4" t="str">
        <f>_xlfn.XLOOKUP($C5,舞种配比!$B$2:$B$91,舞种配比!$A$2:$A$91,"")</f>
        <v/>
      </c>
      <c r="C5" s="15" t="str">
        <f t="array" ref="C5">_xlfn.LET(
   _xlpm.keywords, _xlfn.SORTBY(舞种配比!$B$2:$B$50, LEN(舞种配比!$B$2:$B$50), -1),
   _xlfn.XLOOKUP(TRUE, ISNUMBER(SEARCH(_xlpm.keywords, E5)), _xlpm.keywords, "")
)</f>
        <v/>
      </c>
      <c r="D5" s="5" t="str">
        <f>_xlfn.XLOOKUP($C5,舞种配比!$B$2:$B$91,舞种配比!$C$2:$C$91,"")</f>
        <v/>
      </c>
      <c r="E5" s="9"/>
      <c r="F5" s="62"/>
      <c r="G5" s="74">
        <v>0</v>
      </c>
      <c r="H5" s="75">
        <v>3</v>
      </c>
      <c r="I5" s="76">
        <f t="shared" si="1"/>
        <v>0.81319444444444455</v>
      </c>
      <c r="J5" s="65" t="e">
        <f t="shared" si="2"/>
        <v>#VALUE!</v>
      </c>
    </row>
    <row r="6" spans="1:10" x14ac:dyDescent="0.4">
      <c r="A6" s="4">
        <f t="shared" si="0"/>
        <v>5</v>
      </c>
      <c r="B6" s="4" t="str">
        <f>_xlfn.XLOOKUP($C6,舞种配比!$B$2:$B$91,舞种配比!$A$2:$A$91,"")</f>
        <v/>
      </c>
      <c r="C6" s="15" t="str">
        <f t="array" ref="C6">_xlfn.LET(
   _xlpm.keywords, _xlfn.SORTBY(舞种配比!$B$2:$B$50, LEN(舞种配比!$B$2:$B$50), -1),
   _xlfn.XLOOKUP(TRUE, ISNUMBER(SEARCH(_xlpm.keywords, E6)), _xlpm.keywords, "")
)</f>
        <v/>
      </c>
      <c r="D6" s="5" t="str">
        <f>_xlfn.XLOOKUP($C6,舞种配比!$B$2:$B$91,舞种配比!$C$2:$C$91,"")</f>
        <v/>
      </c>
      <c r="E6" s="4"/>
      <c r="F6" s="62"/>
      <c r="G6" s="74">
        <v>0</v>
      </c>
      <c r="H6" s="75">
        <v>3</v>
      </c>
      <c r="I6" s="76">
        <f t="shared" si="1"/>
        <v>0.81336805555555569</v>
      </c>
      <c r="J6" s="65" t="e">
        <f t="shared" si="2"/>
        <v>#VALUE!</v>
      </c>
    </row>
    <row r="7" spans="1:10" x14ac:dyDescent="0.4">
      <c r="A7" s="4">
        <f t="shared" si="0"/>
        <v>6</v>
      </c>
      <c r="B7" s="4" t="str">
        <f>_xlfn.XLOOKUP($C7,舞种配比!$B$2:$B$91,舞种配比!$A$2:$A$91,"")</f>
        <v/>
      </c>
      <c r="C7" s="15" t="str">
        <f t="array" ref="C7">_xlfn.LET(
   _xlpm.keywords, _xlfn.SORTBY(舞种配比!$B$2:$B$50, LEN(舞种配比!$B$2:$B$50), -1),
   _xlfn.XLOOKUP(TRUE, ISNUMBER(SEARCH(_xlpm.keywords, E7)), _xlpm.keywords, "")
)</f>
        <v/>
      </c>
      <c r="D7" s="5" t="str">
        <f>_xlfn.XLOOKUP($C7,舞种配比!$B$2:$B$91,舞种配比!$C$2:$C$91,"")</f>
        <v/>
      </c>
      <c r="E7" s="9"/>
      <c r="F7" s="62"/>
      <c r="G7" s="74">
        <v>0</v>
      </c>
      <c r="H7" s="75">
        <v>3</v>
      </c>
      <c r="I7" s="76">
        <f t="shared" si="1"/>
        <v>0.81354166666666683</v>
      </c>
      <c r="J7" s="65" t="e">
        <f t="shared" si="2"/>
        <v>#VALUE!</v>
      </c>
    </row>
    <row r="8" spans="1:10" x14ac:dyDescent="0.4">
      <c r="A8" s="4">
        <f t="shared" si="0"/>
        <v>7</v>
      </c>
      <c r="B8" s="4" t="str">
        <f>_xlfn.XLOOKUP($C8,舞种配比!$B$2:$B$91,舞种配比!$A$2:$A$91,"")</f>
        <v/>
      </c>
      <c r="C8" s="15" t="str">
        <f t="array" ref="C8">_xlfn.LET(
   _xlpm.keywords, _xlfn.SORTBY(舞种配比!$B$2:$B$50, LEN(舞种配比!$B$2:$B$50), -1),
   _xlfn.XLOOKUP(TRUE, ISNUMBER(SEARCH(_xlpm.keywords, E8)), _xlpm.keywords, "")
)</f>
        <v/>
      </c>
      <c r="D8" s="5" t="str">
        <f>_xlfn.XLOOKUP($C8,舞种配比!$B$2:$B$91,舞种配比!$C$2:$C$91,"")</f>
        <v/>
      </c>
      <c r="E8" s="9"/>
      <c r="F8" s="62"/>
      <c r="G8" s="74">
        <v>0</v>
      </c>
      <c r="H8" s="75">
        <v>3</v>
      </c>
      <c r="I8" s="76">
        <f t="shared" si="1"/>
        <v>0.81371527777777797</v>
      </c>
      <c r="J8" s="65" t="e">
        <f t="shared" si="2"/>
        <v>#VALUE!</v>
      </c>
    </row>
    <row r="9" spans="1:10" x14ac:dyDescent="0.4">
      <c r="A9" s="4">
        <f t="shared" si="0"/>
        <v>8</v>
      </c>
      <c r="B9" s="4" t="str">
        <f>_xlfn.XLOOKUP($C9,舞种配比!$B$2:$B$91,舞种配比!$A$2:$A$91,"")</f>
        <v/>
      </c>
      <c r="C9" s="15" t="str">
        <f t="array" ref="C9">_xlfn.LET(
   _xlpm.keywords, _xlfn.SORTBY(舞种配比!$B$2:$B$50, LEN(舞种配比!$B$2:$B$50), -1),
   _xlfn.XLOOKUP(TRUE, ISNUMBER(SEARCH(_xlpm.keywords, E9)), _xlpm.keywords, "")
)</f>
        <v/>
      </c>
      <c r="D9" s="8" t="str">
        <f>_xlfn.XLOOKUP($C9,舞种配比!$B$2:$B$91,舞种配比!$C$2:$C$91,"")</f>
        <v/>
      </c>
      <c r="E9" s="4"/>
      <c r="F9" s="62"/>
      <c r="G9" s="74">
        <v>0</v>
      </c>
      <c r="H9" s="75">
        <v>3</v>
      </c>
      <c r="I9" s="76">
        <f t="shared" si="1"/>
        <v>0.81388888888888911</v>
      </c>
      <c r="J9" s="65" t="e">
        <f t="shared" si="2"/>
        <v>#VALUE!</v>
      </c>
    </row>
    <row r="10" spans="1:10" x14ac:dyDescent="0.4">
      <c r="A10" s="4">
        <f t="shared" si="0"/>
        <v>9</v>
      </c>
      <c r="B10" s="4" t="str">
        <f>_xlfn.XLOOKUP($C10,舞种配比!$B$2:$B$91,舞种配比!$A$2:$A$91,"")</f>
        <v/>
      </c>
      <c r="C10" s="15" t="str">
        <f t="array" ref="C10">_xlfn.LET(
   _xlpm.keywords, _xlfn.SORTBY(舞种配比!$B$2:$B$50, LEN(舞种配比!$B$2:$B$50), -1),
   _xlfn.XLOOKUP(TRUE, ISNUMBER(SEARCH(_xlpm.keywords, E10)), _xlpm.keywords, "")
)</f>
        <v/>
      </c>
      <c r="D10" s="5" t="str">
        <f>_xlfn.XLOOKUP($C10,舞种配比!$B$2:$B$91,舞种配比!$C$2:$C$91,"")</f>
        <v/>
      </c>
      <c r="E10" s="9"/>
      <c r="F10" s="62"/>
      <c r="G10" s="74">
        <v>0</v>
      </c>
      <c r="H10" s="75">
        <v>3</v>
      </c>
      <c r="I10" s="76">
        <f t="shared" si="1"/>
        <v>0.81406250000000024</v>
      </c>
      <c r="J10" s="65" t="e">
        <f t="shared" si="2"/>
        <v>#VALUE!</v>
      </c>
    </row>
    <row r="11" spans="1:10" x14ac:dyDescent="0.4">
      <c r="A11" s="4">
        <f t="shared" si="0"/>
        <v>10</v>
      </c>
      <c r="B11" s="4" t="str">
        <f>_xlfn.XLOOKUP($C11,舞种配比!$B$2:$B$91,舞种配比!$A$2:$A$91,"")</f>
        <v/>
      </c>
      <c r="C11" s="15" t="str">
        <f t="array" ref="C11">_xlfn.LET(
   _xlpm.keywords, _xlfn.SORTBY(舞种配比!$B$2:$B$50, LEN(舞种配比!$B$2:$B$50), -1),
   _xlfn.XLOOKUP(TRUE, ISNUMBER(SEARCH(_xlpm.keywords, E11)), _xlpm.keywords, "")
)</f>
        <v/>
      </c>
      <c r="D11" s="5" t="str">
        <f>_xlfn.XLOOKUP($C11,舞种配比!$B$2:$B$91,舞种配比!$C$2:$C$91,"")</f>
        <v/>
      </c>
      <c r="E11" s="9"/>
      <c r="F11" s="62"/>
      <c r="G11" s="74">
        <v>0</v>
      </c>
      <c r="H11" s="75">
        <v>3</v>
      </c>
      <c r="I11" s="76">
        <f t="shared" si="1"/>
        <v>0.81423611111111138</v>
      </c>
      <c r="J11" s="65" t="e">
        <f t="shared" si="2"/>
        <v>#VALUE!</v>
      </c>
    </row>
    <row r="12" spans="1:10" x14ac:dyDescent="0.4">
      <c r="A12" s="4">
        <f t="shared" si="0"/>
        <v>11</v>
      </c>
      <c r="B12" s="4" t="str">
        <f>_xlfn.XLOOKUP($C12,舞种配比!$B$2:$B$91,舞种配比!$A$2:$A$91,"")</f>
        <v/>
      </c>
      <c r="C12" s="15" t="str">
        <f t="array" ref="C12">_xlfn.LET(
   _xlpm.keywords, _xlfn.SORTBY(舞种配比!$B$2:$B$50, LEN(舞种配比!$B$2:$B$50), -1),
   _xlfn.XLOOKUP(TRUE, ISNUMBER(SEARCH(_xlpm.keywords, E12)), _xlpm.keywords, "")
)</f>
        <v/>
      </c>
      <c r="D12" s="5" t="str">
        <f>_xlfn.XLOOKUP($C12,舞种配比!$B$2:$B$91,舞种配比!$C$2:$C$91,"")</f>
        <v/>
      </c>
      <c r="E12" s="4"/>
      <c r="F12" s="62"/>
      <c r="G12" s="74">
        <v>0</v>
      </c>
      <c r="H12" s="75">
        <v>3</v>
      </c>
      <c r="I12" s="76">
        <f t="shared" si="1"/>
        <v>0.81440972222222252</v>
      </c>
      <c r="J12" s="65" t="e">
        <f t="shared" si="2"/>
        <v>#VALUE!</v>
      </c>
    </row>
    <row r="13" spans="1:10" x14ac:dyDescent="0.4">
      <c r="A13" s="4">
        <f t="shared" si="0"/>
        <v>12</v>
      </c>
      <c r="B13" s="4" t="str">
        <f>_xlfn.XLOOKUP($C13,舞种配比!$B$2:$B$91,舞种配比!$A$2:$A$91,"")</f>
        <v/>
      </c>
      <c r="C13" s="15" t="str">
        <f t="array" ref="C13">_xlfn.LET(
   _xlpm.keywords, _xlfn.SORTBY(舞种配比!$B$2:$B$50, LEN(舞种配比!$B$2:$B$50), -1),
   _xlfn.XLOOKUP(TRUE, ISNUMBER(SEARCH(_xlpm.keywords, E13)), _xlpm.keywords, "")
)</f>
        <v/>
      </c>
      <c r="D13" s="8" t="str">
        <f>_xlfn.XLOOKUP($C13,舞种配比!$B$2:$B$91,舞种配比!$C$2:$C$91,"")</f>
        <v/>
      </c>
      <c r="E13" s="4"/>
      <c r="F13" s="62"/>
      <c r="G13" s="74">
        <v>0</v>
      </c>
      <c r="H13" s="75">
        <v>3</v>
      </c>
      <c r="I13" s="76">
        <f t="shared" si="1"/>
        <v>0.81458333333333366</v>
      </c>
      <c r="J13" s="65" t="e">
        <f t="shared" si="2"/>
        <v>#VALUE!</v>
      </c>
    </row>
    <row r="14" spans="1:10" x14ac:dyDescent="0.4">
      <c r="A14" s="4">
        <f t="shared" si="0"/>
        <v>13</v>
      </c>
      <c r="B14" s="4" t="str">
        <f>_xlfn.XLOOKUP($C14,舞种配比!$B$2:$B$91,舞种配比!$A$2:$A$91,"")</f>
        <v/>
      </c>
      <c r="C14" s="15" t="str">
        <f t="array" ref="C14">_xlfn.LET(
   _xlpm.keywords, _xlfn.SORTBY(舞种配比!$B$2:$B$50, LEN(舞种配比!$B$2:$B$50), -1),
   _xlfn.XLOOKUP(TRUE, ISNUMBER(SEARCH(_xlpm.keywords, E14)), _xlpm.keywords, "")
)</f>
        <v/>
      </c>
      <c r="D14" s="7" t="str">
        <f>_xlfn.XLOOKUP($C14,舞种配比!$B$2:$B$91,舞种配比!$C$2:$C$91,"")</f>
        <v/>
      </c>
      <c r="E14" s="9"/>
      <c r="F14" s="62"/>
      <c r="G14" s="74">
        <v>0</v>
      </c>
      <c r="H14" s="75">
        <v>3</v>
      </c>
      <c r="I14" s="76">
        <f t="shared" si="1"/>
        <v>0.8147569444444448</v>
      </c>
      <c r="J14" s="65" t="e">
        <f t="shared" si="2"/>
        <v>#VALUE!</v>
      </c>
    </row>
    <row r="15" spans="1:10" x14ac:dyDescent="0.4">
      <c r="A15" s="4">
        <f t="shared" si="0"/>
        <v>14</v>
      </c>
      <c r="B15" s="4" t="str">
        <f>_xlfn.XLOOKUP($C15,舞种配比!$B$2:$B$91,舞种配比!$A$2:$A$91,"")</f>
        <v/>
      </c>
      <c r="C15" s="15" t="str">
        <f t="array" ref="C15">_xlfn.LET(
   _xlpm.keywords, _xlfn.SORTBY(舞种配比!$B$2:$B$50, LEN(舞种配比!$B$2:$B$50), -1),
   _xlfn.XLOOKUP(TRUE, ISNUMBER(SEARCH(_xlpm.keywords, E15)), _xlpm.keywords, "")
)</f>
        <v/>
      </c>
      <c r="D15" s="5" t="str">
        <f>_xlfn.XLOOKUP($C15,舞种配比!$B$2:$B$91,舞种配比!$C$2:$C$91,"")</f>
        <v/>
      </c>
      <c r="E15" s="9"/>
      <c r="F15" s="62"/>
      <c r="G15" s="74">
        <v>0</v>
      </c>
      <c r="H15" s="75">
        <v>3</v>
      </c>
      <c r="I15" s="76">
        <f t="shared" si="1"/>
        <v>0.81493055555555594</v>
      </c>
      <c r="J15" s="65" t="e">
        <f t="shared" si="2"/>
        <v>#VALUE!</v>
      </c>
    </row>
    <row r="16" spans="1:10" x14ac:dyDescent="0.4">
      <c r="A16" s="4">
        <f t="shared" si="0"/>
        <v>15</v>
      </c>
      <c r="B16" s="4" t="str">
        <f>_xlfn.XLOOKUP($C16,舞种配比!$B$2:$B$91,舞种配比!$A$2:$A$91,"")</f>
        <v/>
      </c>
      <c r="C16" s="15" t="str">
        <f t="array" ref="C16">_xlfn.LET(
   _xlpm.keywords, _xlfn.SORTBY(舞种配比!$B$2:$B$50, LEN(舞种配比!$B$2:$B$50), -1),
   _xlfn.XLOOKUP(TRUE, ISNUMBER(SEARCH(_xlpm.keywords, E16)), _xlpm.keywords, "")
)</f>
        <v/>
      </c>
      <c r="D16" s="8" t="str">
        <f>_xlfn.XLOOKUP($C16,舞种配比!$B$2:$B$91,舞种配比!$C$2:$C$91,"")</f>
        <v/>
      </c>
      <c r="E16" s="4"/>
      <c r="F16" s="62"/>
      <c r="G16" s="74">
        <v>0</v>
      </c>
      <c r="H16" s="75">
        <v>3</v>
      </c>
      <c r="I16" s="76">
        <f t="shared" si="1"/>
        <v>0.81510416666666707</v>
      </c>
      <c r="J16" s="65" t="e">
        <f t="shared" si="2"/>
        <v>#VALUE!</v>
      </c>
    </row>
    <row r="17" spans="1:10" x14ac:dyDescent="0.4">
      <c r="A17" s="4">
        <f t="shared" si="0"/>
        <v>16</v>
      </c>
      <c r="B17" s="4" t="str">
        <f>_xlfn.XLOOKUP($C17,舞种配比!$B$2:$B$91,舞种配比!$A$2:$A$91,"")</f>
        <v/>
      </c>
      <c r="C17" s="15" t="str">
        <f t="array" ref="C17">_xlfn.LET(
   _xlpm.keywords, _xlfn.SORTBY(舞种配比!$B$2:$B$50, LEN(舞种配比!$B$2:$B$50), -1),
   _xlfn.XLOOKUP(TRUE, ISNUMBER(SEARCH(_xlpm.keywords, E17)), _xlpm.keywords, "")
)</f>
        <v/>
      </c>
      <c r="D17" s="5" t="str">
        <f>_xlfn.XLOOKUP($C17,舞种配比!$B$2:$B$91,舞种配比!$C$2:$C$91,"")</f>
        <v/>
      </c>
      <c r="E17" s="9"/>
      <c r="F17" s="62"/>
      <c r="G17" s="74">
        <v>0</v>
      </c>
      <c r="H17" s="75">
        <v>3</v>
      </c>
      <c r="I17" s="76">
        <f t="shared" si="1"/>
        <v>0.81527777777777821</v>
      </c>
      <c r="J17" s="65" t="e">
        <f t="shared" si="2"/>
        <v>#VALUE!</v>
      </c>
    </row>
    <row r="18" spans="1:10" x14ac:dyDescent="0.4">
      <c r="A18" s="4">
        <f t="shared" si="0"/>
        <v>17</v>
      </c>
      <c r="B18" s="4" t="str">
        <f>_xlfn.XLOOKUP($C18,舞种配比!$B$2:$B$91,舞种配比!$A$2:$A$91,"")</f>
        <v/>
      </c>
      <c r="C18" s="15" t="str">
        <f t="array" ref="C18">_xlfn.LET(
   _xlpm.keywords, _xlfn.SORTBY(舞种配比!$B$2:$B$50, LEN(舞种配比!$B$2:$B$50), -1),
   _xlfn.XLOOKUP(TRUE, ISNUMBER(SEARCH(_xlpm.keywords, E18)), _xlpm.keywords, "")
)</f>
        <v/>
      </c>
      <c r="D18" s="5" t="str">
        <f>_xlfn.XLOOKUP($C18,舞种配比!$B$2:$B$91,舞种配比!$C$2:$C$91,"")</f>
        <v/>
      </c>
      <c r="E18" s="9"/>
      <c r="F18" s="62"/>
      <c r="G18" s="74">
        <v>0</v>
      </c>
      <c r="H18" s="75">
        <v>3</v>
      </c>
      <c r="I18" s="76">
        <f t="shared" si="1"/>
        <v>0.81545138888888935</v>
      </c>
      <c r="J18" s="65" t="e">
        <f t="shared" si="2"/>
        <v>#VALUE!</v>
      </c>
    </row>
    <row r="19" spans="1:10" x14ac:dyDescent="0.4">
      <c r="A19" s="4">
        <f t="shared" si="0"/>
        <v>18</v>
      </c>
      <c r="B19" s="4" t="str">
        <f>_xlfn.XLOOKUP($C19,舞种配比!$B$2:$B$91,舞种配比!$A$2:$A$91,"")</f>
        <v/>
      </c>
      <c r="C19" s="15" t="str">
        <f t="array" ref="C19">_xlfn.LET(
   _xlpm.keywords, _xlfn.SORTBY(舞种配比!$B$2:$B$50, LEN(舞种配比!$B$2:$B$50), -1),
   _xlfn.XLOOKUP(TRUE, ISNUMBER(SEARCH(_xlpm.keywords, E19)), _xlpm.keywords, "")
)</f>
        <v/>
      </c>
      <c r="D19" s="5" t="str">
        <f>_xlfn.XLOOKUP($C19,舞种配比!$B$2:$B$91,舞种配比!$C$2:$C$91,"")</f>
        <v/>
      </c>
      <c r="E19" s="4"/>
      <c r="F19" s="62"/>
      <c r="G19" s="74">
        <v>0</v>
      </c>
      <c r="H19" s="75">
        <v>3</v>
      </c>
      <c r="I19" s="76">
        <f t="shared" si="1"/>
        <v>0.81562500000000049</v>
      </c>
      <c r="J19" s="65" t="e">
        <f t="shared" si="2"/>
        <v>#VALUE!</v>
      </c>
    </row>
    <row r="20" spans="1:10" x14ac:dyDescent="0.4">
      <c r="A20" s="4">
        <f t="shared" si="0"/>
        <v>19</v>
      </c>
      <c r="B20" s="4" t="str">
        <f>_xlfn.XLOOKUP($C20,舞种配比!$B$2:$B$91,舞种配比!$A$2:$A$91,"")</f>
        <v/>
      </c>
      <c r="C20" s="15" t="str">
        <f t="array" ref="C20">_xlfn.LET(
   _xlpm.keywords, _xlfn.SORTBY(舞种配比!$B$2:$B$50, LEN(舞种配比!$B$2:$B$50), -1),
   _xlfn.XLOOKUP(TRUE, ISNUMBER(SEARCH(_xlpm.keywords, E20)), _xlpm.keywords, "")
)</f>
        <v/>
      </c>
      <c r="D20" s="5" t="str">
        <f>_xlfn.XLOOKUP($C20,舞种配比!$B$2:$B$91,舞种配比!$C$2:$C$91,"")</f>
        <v/>
      </c>
      <c r="E20" s="4"/>
      <c r="F20" s="62"/>
      <c r="G20" s="74">
        <v>0</v>
      </c>
      <c r="H20" s="75">
        <v>3</v>
      </c>
      <c r="I20" s="76">
        <f t="shared" si="1"/>
        <v>0.81579861111111163</v>
      </c>
      <c r="J20" s="65" t="e">
        <f t="shared" si="2"/>
        <v>#VALUE!</v>
      </c>
    </row>
    <row r="21" spans="1:10" x14ac:dyDescent="0.4">
      <c r="A21" s="4">
        <f t="shared" si="0"/>
        <v>20</v>
      </c>
      <c r="B21" s="4" t="str">
        <f>_xlfn.XLOOKUP($C21,舞种配比!$B$2:$B$91,舞种配比!$A$2:$A$91,"")</f>
        <v/>
      </c>
      <c r="C21" s="15" t="str">
        <f t="array" ref="C21">_xlfn.LET(
   _xlpm.keywords, _xlfn.SORTBY(舞种配比!$B$2:$B$50, LEN(舞种配比!$B$2:$B$50), -1),
   _xlfn.XLOOKUP(TRUE, ISNUMBER(SEARCH(_xlpm.keywords, E21)), _xlpm.keywords, "")
)</f>
        <v/>
      </c>
      <c r="D21" s="5" t="str">
        <f>_xlfn.XLOOKUP($C21,舞种配比!$B$2:$B$91,舞种配比!$C$2:$C$91,"")</f>
        <v/>
      </c>
      <c r="E21" s="9"/>
      <c r="F21" s="62"/>
      <c r="G21" s="74">
        <v>0</v>
      </c>
      <c r="H21" s="75">
        <v>3</v>
      </c>
      <c r="I21" s="76">
        <f t="shared" si="1"/>
        <v>0.81597222222222276</v>
      </c>
      <c r="J21" s="65" t="e">
        <f t="shared" si="2"/>
        <v>#VALUE!</v>
      </c>
    </row>
    <row r="22" spans="1:10" x14ac:dyDescent="0.4">
      <c r="A22" s="4">
        <f t="shared" si="0"/>
        <v>21</v>
      </c>
      <c r="B22" s="4" t="str">
        <f>_xlfn.XLOOKUP($C22,舞种配比!$B$2:$B$91,舞种配比!$A$2:$A$91,"")</f>
        <v/>
      </c>
      <c r="C22" s="15" t="str">
        <f t="array" ref="C22">_xlfn.LET(
   _xlpm.keywords, _xlfn.SORTBY(舞种配比!$B$2:$B$50, LEN(舞种配比!$B$2:$B$50), -1),
   _xlfn.XLOOKUP(TRUE, ISNUMBER(SEARCH(_xlpm.keywords, E22)), _xlpm.keywords, "")
)</f>
        <v/>
      </c>
      <c r="D22" s="5" t="str">
        <f>_xlfn.XLOOKUP($C22,舞种配比!$B$2:$B$91,舞种配比!$C$2:$C$91,"")</f>
        <v/>
      </c>
      <c r="E22" s="9"/>
      <c r="F22" s="62"/>
      <c r="G22" s="74">
        <v>0</v>
      </c>
      <c r="H22" s="75">
        <v>3</v>
      </c>
      <c r="I22" s="76">
        <f t="shared" si="1"/>
        <v>0.8161458333333339</v>
      </c>
      <c r="J22" s="65" t="e">
        <f t="shared" si="2"/>
        <v>#VALUE!</v>
      </c>
    </row>
    <row r="23" spans="1:10" x14ac:dyDescent="0.4">
      <c r="A23" s="4">
        <f t="shared" si="0"/>
        <v>22</v>
      </c>
      <c r="B23" s="4" t="str">
        <f>_xlfn.XLOOKUP($C23,舞种配比!$B$2:$B$91,舞种配比!$A$2:$A$91,"")</f>
        <v/>
      </c>
      <c r="C23" s="15" t="str">
        <f t="array" ref="C23">_xlfn.LET(
   _xlpm.keywords, _xlfn.SORTBY(舞种配比!$B$2:$B$50, LEN(舞种配比!$B$2:$B$50), -1),
   _xlfn.XLOOKUP(TRUE, ISNUMBER(SEARCH(_xlpm.keywords, E23)), _xlpm.keywords, "")
)</f>
        <v/>
      </c>
      <c r="D23" s="5" t="str">
        <f>_xlfn.XLOOKUP($C23,舞种配比!$B$2:$B$91,舞种配比!$C$2:$C$91,"")</f>
        <v/>
      </c>
      <c r="E23" s="4"/>
      <c r="F23" s="62"/>
      <c r="G23" s="74">
        <v>0</v>
      </c>
      <c r="H23" s="75">
        <v>3</v>
      </c>
      <c r="I23" s="76">
        <f t="shared" si="1"/>
        <v>0.81631944444444504</v>
      </c>
      <c r="J23" s="65" t="e">
        <f t="shared" si="2"/>
        <v>#VALUE!</v>
      </c>
    </row>
    <row r="24" spans="1:10" x14ac:dyDescent="0.4">
      <c r="A24" s="4">
        <f t="shared" si="0"/>
        <v>23</v>
      </c>
      <c r="B24" s="4" t="str">
        <f>_xlfn.XLOOKUP($C24,舞种配比!$B$2:$B$91,舞种配比!$A$2:$A$91,"")</f>
        <v/>
      </c>
      <c r="C24" s="15" t="str">
        <f t="array" ref="C24">_xlfn.LET(
   _xlpm.keywords, _xlfn.SORTBY(舞种配比!$B$2:$B$50, LEN(舞种配比!$B$2:$B$50), -1),
   _xlfn.XLOOKUP(TRUE, ISNUMBER(SEARCH(_xlpm.keywords, E24)), _xlpm.keywords, "")
)</f>
        <v/>
      </c>
      <c r="D24" s="7" t="str">
        <f>_xlfn.XLOOKUP($C24,舞种配比!$B$2:$B$91,舞种配比!$C$2:$C$91,"")</f>
        <v/>
      </c>
      <c r="E24" s="4"/>
      <c r="F24" s="62"/>
      <c r="G24" s="74">
        <v>0</v>
      </c>
      <c r="H24" s="75">
        <v>3</v>
      </c>
      <c r="I24" s="76">
        <f t="shared" si="1"/>
        <v>0.81649305555555618</v>
      </c>
      <c r="J24" s="65" t="e">
        <f t="shared" si="2"/>
        <v>#VALUE!</v>
      </c>
    </row>
    <row r="25" spans="1:10" x14ac:dyDescent="0.4">
      <c r="A25" s="4">
        <f t="shared" si="0"/>
        <v>24</v>
      </c>
      <c r="B25" s="4" t="str">
        <f>_xlfn.XLOOKUP($C25,舞种配比!$B$2:$B$91,舞种配比!$A$2:$A$91,"")</f>
        <v/>
      </c>
      <c r="C25" s="15" t="str">
        <f t="array" ref="C25">_xlfn.LET(
   _xlpm.keywords, _xlfn.SORTBY(舞种配比!$B$2:$B$50, LEN(舞种配比!$B$2:$B$50), -1),
   _xlfn.XLOOKUP(TRUE, ISNUMBER(SEARCH(_xlpm.keywords, E25)), _xlpm.keywords, "")
)</f>
        <v/>
      </c>
      <c r="D25" s="7" t="str">
        <f>_xlfn.XLOOKUP($C25,舞种配比!$B$2:$B$91,舞种配比!$C$2:$C$91,"")</f>
        <v/>
      </c>
      <c r="E25" s="4"/>
      <c r="F25" s="62"/>
      <c r="G25" s="74">
        <v>0</v>
      </c>
      <c r="H25" s="75">
        <v>3</v>
      </c>
      <c r="I25" s="76">
        <f t="shared" si="1"/>
        <v>0.81666666666666732</v>
      </c>
      <c r="J25" s="65" t="e">
        <f t="shared" si="2"/>
        <v>#VALUE!</v>
      </c>
    </row>
    <row r="26" spans="1:10" x14ac:dyDescent="0.4">
      <c r="A26" s="4">
        <f t="shared" si="0"/>
        <v>25</v>
      </c>
      <c r="B26" s="4" t="str">
        <f>_xlfn.XLOOKUP($C26,舞种配比!$B$2:$B$91,舞种配比!$A$2:$A$91,"")</f>
        <v/>
      </c>
      <c r="C26" s="15" t="str">
        <f t="array" ref="C26">_xlfn.LET(
   _xlpm.keywords, _xlfn.SORTBY(舞种配比!$B$2:$B$50, LEN(舞种配比!$B$2:$B$50), -1),
   _xlfn.XLOOKUP(TRUE, ISNUMBER(SEARCH(_xlpm.keywords, E26)), _xlpm.keywords, "")
)</f>
        <v/>
      </c>
      <c r="D26" s="5" t="str">
        <f>_xlfn.XLOOKUP($C26,舞种配比!$B$2:$B$91,舞种配比!$C$2:$C$91,"")</f>
        <v/>
      </c>
      <c r="E26" s="4"/>
      <c r="F26" s="62"/>
      <c r="G26" s="74">
        <v>0</v>
      </c>
      <c r="H26" s="75">
        <v>3</v>
      </c>
      <c r="I26" s="76">
        <f t="shared" si="1"/>
        <v>0.81684027777777846</v>
      </c>
      <c r="J26" s="65" t="e">
        <f t="shared" si="2"/>
        <v>#VALUE!</v>
      </c>
    </row>
    <row r="27" spans="1:10" x14ac:dyDescent="0.4">
      <c r="A27" s="4">
        <f t="shared" si="0"/>
        <v>26</v>
      </c>
      <c r="B27" s="4" t="str">
        <f>_xlfn.XLOOKUP($C27,舞种配比!$B$2:$B$91,舞种配比!$A$2:$A$91,"")</f>
        <v/>
      </c>
      <c r="C27" s="15" t="str">
        <f t="array" ref="C27">_xlfn.LET(
   _xlpm.keywords, _xlfn.SORTBY(舞种配比!$B$2:$B$50, LEN(舞种配比!$B$2:$B$50), -1),
   _xlfn.XLOOKUP(TRUE, ISNUMBER(SEARCH(_xlpm.keywords, E27)), _xlpm.keywords, "")
)</f>
        <v/>
      </c>
      <c r="D27" s="5" t="str">
        <f>_xlfn.XLOOKUP($C27,舞种配比!$B$2:$B$91,舞种配比!$C$2:$C$91,"")</f>
        <v/>
      </c>
      <c r="E27" s="4"/>
      <c r="F27" s="62"/>
      <c r="G27" s="74">
        <v>0</v>
      </c>
      <c r="H27" s="75">
        <v>3</v>
      </c>
      <c r="I27" s="76">
        <f t="shared" si="1"/>
        <v>0.81701388888888959</v>
      </c>
      <c r="J27" s="65" t="e">
        <f t="shared" si="2"/>
        <v>#VALUE!</v>
      </c>
    </row>
    <row r="28" spans="1:10" x14ac:dyDescent="0.4">
      <c r="A28" s="4">
        <f t="shared" si="0"/>
        <v>27</v>
      </c>
      <c r="B28" s="4" t="str">
        <f>_xlfn.XLOOKUP($C28,舞种配比!$B$2:$B$91,舞种配比!$A$2:$A$91,"")</f>
        <v/>
      </c>
      <c r="C28" s="15" t="str">
        <f t="array" ref="C28">_xlfn.LET(
   _xlpm.keywords, _xlfn.SORTBY(舞种配比!$B$2:$B$50, LEN(舞种配比!$B$2:$B$50), -1),
   _xlfn.XLOOKUP(TRUE, ISNUMBER(SEARCH(_xlpm.keywords, E28)), _xlpm.keywords, "")
)</f>
        <v/>
      </c>
      <c r="D28" s="5" t="str">
        <f>_xlfn.XLOOKUP($C28,舞种配比!$B$2:$B$91,舞种配比!$C$2:$C$91,"")</f>
        <v/>
      </c>
      <c r="E28" s="4"/>
      <c r="F28" s="62"/>
      <c r="G28" s="74">
        <v>0</v>
      </c>
      <c r="H28" s="75">
        <v>3</v>
      </c>
      <c r="I28" s="76">
        <f t="shared" si="1"/>
        <v>0.81718750000000073</v>
      </c>
      <c r="J28" s="65" t="e">
        <f t="shared" si="2"/>
        <v>#VALUE!</v>
      </c>
    </row>
    <row r="29" spans="1:10" x14ac:dyDescent="0.4">
      <c r="A29" s="4">
        <f t="shared" si="0"/>
        <v>28</v>
      </c>
      <c r="B29" s="4" t="str">
        <f>_xlfn.XLOOKUP($C29,舞种配比!$B$2:$B$91,舞种配比!$A$2:$A$91,"")</f>
        <v/>
      </c>
      <c r="C29" s="15" t="str">
        <f t="array" ref="C29">_xlfn.LET(
   _xlpm.keywords, _xlfn.SORTBY(舞种配比!$B$2:$B$50, LEN(舞种配比!$B$2:$B$50), -1),
   _xlfn.XLOOKUP(TRUE, ISNUMBER(SEARCH(_xlpm.keywords, E29)), _xlpm.keywords, "")
)</f>
        <v/>
      </c>
      <c r="D29" s="8" t="str">
        <f>_xlfn.XLOOKUP($C29,舞种配比!$B$2:$B$91,舞种配比!$C$2:$C$91,"")</f>
        <v/>
      </c>
      <c r="E29" s="9"/>
      <c r="F29" s="62"/>
      <c r="G29" s="74">
        <v>0</v>
      </c>
      <c r="H29" s="75">
        <v>3</v>
      </c>
      <c r="I29" s="76">
        <f t="shared" si="1"/>
        <v>0.81736111111111187</v>
      </c>
      <c r="J29" s="65" t="e">
        <f t="shared" si="2"/>
        <v>#VALUE!</v>
      </c>
    </row>
    <row r="30" spans="1:10" x14ac:dyDescent="0.4">
      <c r="A30" s="4">
        <f t="shared" si="0"/>
        <v>29</v>
      </c>
      <c r="B30" s="4" t="str">
        <f>_xlfn.XLOOKUP($C30,舞种配比!$B$2:$B$91,舞种配比!$A$2:$A$91,"")</f>
        <v/>
      </c>
      <c r="C30" s="15" t="str">
        <f t="array" ref="C30">_xlfn.LET(
   _xlpm.keywords, _xlfn.SORTBY(舞种配比!$B$2:$B$50, LEN(舞种配比!$B$2:$B$50), -1),
   _xlfn.XLOOKUP(TRUE, ISNUMBER(SEARCH(_xlpm.keywords, E30)), _xlpm.keywords, "")
)</f>
        <v/>
      </c>
      <c r="D30" s="5" t="str">
        <f>_xlfn.XLOOKUP($C30,舞种配比!$B$2:$B$91,舞种配比!$C$2:$C$91,"")</f>
        <v/>
      </c>
      <c r="E30" s="4"/>
      <c r="F30" s="62"/>
      <c r="G30" s="74">
        <v>0</v>
      </c>
      <c r="H30" s="75">
        <v>3</v>
      </c>
      <c r="I30" s="76">
        <f t="shared" si="1"/>
        <v>0.81753472222222301</v>
      </c>
      <c r="J30" s="65" t="e">
        <f t="shared" si="2"/>
        <v>#VALUE!</v>
      </c>
    </row>
    <row r="31" spans="1:10" x14ac:dyDescent="0.4">
      <c r="A31" s="4">
        <f t="shared" si="0"/>
        <v>30</v>
      </c>
      <c r="B31" s="4" t="str">
        <f>_xlfn.XLOOKUP($C31,舞种配比!$B$2:$B$91,舞种配比!$A$2:$A$91,"")</f>
        <v/>
      </c>
      <c r="C31" s="15" t="str">
        <f t="array" ref="C31">_xlfn.LET(
   _xlpm.keywords, _xlfn.SORTBY(舞种配比!$B$2:$B$50, LEN(舞种配比!$B$2:$B$50), -1),
   _xlfn.XLOOKUP(TRUE, ISNUMBER(SEARCH(_xlpm.keywords, E31)), _xlpm.keywords, "")
)</f>
        <v/>
      </c>
      <c r="D31" s="5" t="str">
        <f>_xlfn.XLOOKUP($C31,舞种配比!$B$2:$B$91,舞种配比!$C$2:$C$91,"")</f>
        <v/>
      </c>
      <c r="E31" s="4"/>
      <c r="F31" s="62"/>
      <c r="G31" s="74">
        <v>0</v>
      </c>
      <c r="H31" s="75">
        <v>3</v>
      </c>
      <c r="I31" s="76">
        <f t="shared" si="1"/>
        <v>0.81770833333333415</v>
      </c>
      <c r="J31" s="65" t="e">
        <f t="shared" si="2"/>
        <v>#VALUE!</v>
      </c>
    </row>
    <row r="32" spans="1:10" x14ac:dyDescent="0.4">
      <c r="A32" s="4">
        <f t="shared" si="0"/>
        <v>31</v>
      </c>
      <c r="B32" s="4" t="str">
        <f>_xlfn.XLOOKUP($C32,舞种配比!$B$2:$B$91,舞种配比!$A$2:$A$91,"")</f>
        <v/>
      </c>
      <c r="C32" s="15" t="str">
        <f t="array" ref="C32">_xlfn.LET(
   _xlpm.keywords, _xlfn.SORTBY(舞种配比!$B$2:$B$50, LEN(舞种配比!$B$2:$B$50), -1),
   _xlfn.XLOOKUP(TRUE, ISNUMBER(SEARCH(_xlpm.keywords, E32)), _xlpm.keywords, "")
)</f>
        <v/>
      </c>
      <c r="D32" s="5" t="str">
        <f>_xlfn.XLOOKUP($C32,舞种配比!$B$2:$B$91,舞种配比!$C$2:$C$91,"")</f>
        <v/>
      </c>
      <c r="E32" s="4"/>
      <c r="F32" s="62"/>
      <c r="G32" s="74">
        <v>0</v>
      </c>
      <c r="H32" s="75">
        <v>3</v>
      </c>
      <c r="I32" s="76">
        <f t="shared" si="1"/>
        <v>0.81788194444444529</v>
      </c>
      <c r="J32" s="65" t="e">
        <f t="shared" si="2"/>
        <v>#VALUE!</v>
      </c>
    </row>
    <row r="33" spans="1:10" x14ac:dyDescent="0.4">
      <c r="A33" s="4">
        <f t="shared" si="0"/>
        <v>32</v>
      </c>
      <c r="B33" s="4" t="str">
        <f>_xlfn.XLOOKUP($C33,舞种配比!$B$2:$B$91,舞种配比!$A$2:$A$91,"")</f>
        <v/>
      </c>
      <c r="C33" s="15" t="str">
        <f t="array" ref="C33">_xlfn.LET(
   _xlpm.keywords, _xlfn.SORTBY(舞种配比!$B$2:$B$50, LEN(舞种配比!$B$2:$B$50), -1),
   _xlfn.XLOOKUP(TRUE, ISNUMBER(SEARCH(_xlpm.keywords, E33)), _xlpm.keywords, "")
)</f>
        <v/>
      </c>
      <c r="D33" s="10" t="str">
        <f>_xlfn.XLOOKUP($C33,舞种配比!$B$2:$B$91,舞种配比!$C$2:$C$91,"")</f>
        <v/>
      </c>
      <c r="E33" s="4"/>
      <c r="F33" s="62"/>
      <c r="G33" s="74">
        <v>0</v>
      </c>
      <c r="H33" s="75">
        <v>3</v>
      </c>
      <c r="I33" s="76">
        <f t="shared" si="1"/>
        <v>0.81805555555555642</v>
      </c>
      <c r="J33" s="65" t="e">
        <f t="shared" si="2"/>
        <v>#VALUE!</v>
      </c>
    </row>
    <row r="34" spans="1:10" x14ac:dyDescent="0.4">
      <c r="A34" s="4">
        <f t="shared" ref="A34:A52" si="3">ROW()-1</f>
        <v>33</v>
      </c>
      <c r="B34" s="4" t="str">
        <f>_xlfn.XLOOKUP($C34,舞种配比!$B$2:$B$91,舞种配比!$A$2:$A$91,"")</f>
        <v/>
      </c>
      <c r="C34" s="15" t="str">
        <f t="array" ref="C34">_xlfn.LET(
   _xlpm.keywords, _xlfn.SORTBY(舞种配比!$B$2:$B$50, LEN(舞种配比!$B$2:$B$50), -1),
   _xlfn.XLOOKUP(TRUE, ISNUMBER(SEARCH(_xlpm.keywords, E34)), _xlpm.keywords, "")
)</f>
        <v/>
      </c>
      <c r="D34" s="11" t="str">
        <f>_xlfn.XLOOKUP($C34,舞种配比!$B$2:$B$91,舞种配比!$C$2:$C$91,"")</f>
        <v/>
      </c>
      <c r="E34" s="4"/>
      <c r="F34" s="62"/>
      <c r="G34" s="74">
        <v>0</v>
      </c>
      <c r="H34" s="75">
        <v>3</v>
      </c>
      <c r="I34" s="76">
        <f t="shared" ref="I34:I51" si="4">$I33+TIME(0,0,15)+$F34</f>
        <v>0.81822916666666756</v>
      </c>
      <c r="J34" s="65" t="e">
        <f t="shared" ref="J34:J52" si="5">"ren """ &amp; E34 &amp; """ """ &amp; TEXT(ROW(A33),"00") &amp; "-" &amp; LEFT(E34,FIND(".",E34)-1) &amp; MID(E34,FIND(".",E34),LEN(E34)) &amp; """"</f>
        <v>#VALUE!</v>
      </c>
    </row>
    <row r="35" spans="1:10" x14ac:dyDescent="0.4">
      <c r="A35" s="4">
        <f t="shared" si="3"/>
        <v>34</v>
      </c>
      <c r="B35" s="4" t="str">
        <f>_xlfn.XLOOKUP($C35,舞种配比!$B$2:$B$91,舞种配比!$A$2:$A$91,"")</f>
        <v/>
      </c>
      <c r="C35" s="15" t="str">
        <f t="array" ref="C35">_xlfn.LET(
   _xlpm.keywords, _xlfn.SORTBY(舞种配比!$B$2:$B$50, LEN(舞种配比!$B$2:$B$50), -1),
   _xlfn.XLOOKUP(TRUE, ISNUMBER(SEARCH(_xlpm.keywords, E35)), _xlpm.keywords, "")
)</f>
        <v/>
      </c>
      <c r="D35" s="5" t="str">
        <f>_xlfn.XLOOKUP($C35,舞种配比!$B$2:$B$91,舞种配比!$C$2:$C$91,"")</f>
        <v/>
      </c>
      <c r="E35" s="4"/>
      <c r="F35" s="62"/>
      <c r="G35" s="74">
        <v>0</v>
      </c>
      <c r="H35" s="75">
        <v>3</v>
      </c>
      <c r="I35" s="76">
        <f t="shared" si="4"/>
        <v>0.8184027777777787</v>
      </c>
      <c r="J35" s="65" t="e">
        <f t="shared" si="5"/>
        <v>#VALUE!</v>
      </c>
    </row>
    <row r="36" spans="1:10" x14ac:dyDescent="0.4">
      <c r="A36" s="4">
        <f t="shared" si="3"/>
        <v>35</v>
      </c>
      <c r="B36" s="4" t="str">
        <f>_xlfn.XLOOKUP($C36,舞种配比!$B$2:$B$91,舞种配比!$A$2:$A$91,"")</f>
        <v/>
      </c>
      <c r="C36" s="15" t="str">
        <f t="array" ref="C36">_xlfn.LET(
   _xlpm.keywords, _xlfn.SORTBY(舞种配比!$B$2:$B$50, LEN(舞种配比!$B$2:$B$50), -1),
   _xlfn.XLOOKUP(TRUE, ISNUMBER(SEARCH(_xlpm.keywords, E36)), _xlpm.keywords, "")
)</f>
        <v/>
      </c>
      <c r="D36" s="5" t="str">
        <f>_xlfn.XLOOKUP($C36,舞种配比!$B$2:$B$91,舞种配比!$C$2:$C$91,"")</f>
        <v/>
      </c>
      <c r="E36" s="4"/>
      <c r="F36" s="62"/>
      <c r="G36" s="74">
        <v>0</v>
      </c>
      <c r="H36" s="75">
        <v>3</v>
      </c>
      <c r="I36" s="76">
        <f t="shared" si="4"/>
        <v>0.81857638888888984</v>
      </c>
      <c r="J36" s="65" t="e">
        <f t="shared" si="5"/>
        <v>#VALUE!</v>
      </c>
    </row>
    <row r="37" spans="1:10" x14ac:dyDescent="0.4">
      <c r="A37" s="4">
        <f t="shared" si="3"/>
        <v>36</v>
      </c>
      <c r="B37" s="4" t="str">
        <f>_xlfn.XLOOKUP($C37,舞种配比!$B$2:$B$91,舞种配比!$A$2:$A$91,"")</f>
        <v/>
      </c>
      <c r="C37" s="15" t="str">
        <f t="array" ref="C37">_xlfn.LET(
   _xlpm.keywords, _xlfn.SORTBY(舞种配比!$B$2:$B$50, LEN(舞种配比!$B$2:$B$50), -1),
   _xlfn.XLOOKUP(TRUE, ISNUMBER(SEARCH(_xlpm.keywords, E37)), _xlpm.keywords, "")
)</f>
        <v/>
      </c>
      <c r="D37" s="11" t="str">
        <f>_xlfn.XLOOKUP($C37,舞种配比!$B$2:$B$91,舞种配比!$C$2:$C$91,"")</f>
        <v/>
      </c>
      <c r="E37" s="4"/>
      <c r="F37" s="62"/>
      <c r="G37" s="74">
        <v>0</v>
      </c>
      <c r="H37" s="75">
        <v>3</v>
      </c>
      <c r="I37" s="76">
        <f t="shared" si="4"/>
        <v>0.81875000000000098</v>
      </c>
      <c r="J37" s="65" t="e">
        <f t="shared" si="5"/>
        <v>#VALUE!</v>
      </c>
    </row>
    <row r="38" spans="1:10" x14ac:dyDescent="0.4">
      <c r="A38" s="4">
        <f t="shared" si="3"/>
        <v>37</v>
      </c>
      <c r="B38" s="4" t="str">
        <f>_xlfn.XLOOKUP($C38,舞种配比!$B$2:$B$91,舞种配比!$A$2:$A$91,"")</f>
        <v/>
      </c>
      <c r="C38" s="15" t="str">
        <f t="array" ref="C38">_xlfn.LET(
   _xlpm.keywords, _xlfn.SORTBY(舞种配比!$B$2:$B$50, LEN(舞种配比!$B$2:$B$50), -1),
   _xlfn.XLOOKUP(TRUE, ISNUMBER(SEARCH(_xlpm.keywords, E38)), _xlpm.keywords, "")
)</f>
        <v/>
      </c>
      <c r="D38" s="5" t="str">
        <f>_xlfn.XLOOKUP($C38,舞种配比!$B$2:$B$91,舞种配比!$C$2:$C$91,"")</f>
        <v/>
      </c>
      <c r="E38" s="9"/>
      <c r="F38" s="62"/>
      <c r="G38" s="74">
        <v>0</v>
      </c>
      <c r="H38" s="75">
        <v>3</v>
      </c>
      <c r="I38" s="76">
        <f t="shared" si="4"/>
        <v>0.81892361111111212</v>
      </c>
      <c r="J38" s="65" t="e">
        <f t="shared" si="5"/>
        <v>#VALUE!</v>
      </c>
    </row>
    <row r="39" spans="1:10" x14ac:dyDescent="0.4">
      <c r="A39" s="4">
        <f t="shared" si="3"/>
        <v>38</v>
      </c>
      <c r="B39" s="4" t="str">
        <f>_xlfn.XLOOKUP($C39,舞种配比!$B$2:$B$91,舞种配比!$A$2:$A$91,"")</f>
        <v/>
      </c>
      <c r="C39" s="15" t="str">
        <f t="array" ref="C39">_xlfn.LET(
   _xlpm.keywords, _xlfn.SORTBY(舞种配比!$B$2:$B$50, LEN(舞种配比!$B$2:$B$50), -1),
   _xlfn.XLOOKUP(TRUE, ISNUMBER(SEARCH(_xlpm.keywords, E39)), _xlpm.keywords, "")
)</f>
        <v/>
      </c>
      <c r="D39" s="5" t="str">
        <f>_xlfn.XLOOKUP($C39,舞种配比!$B$2:$B$91,舞种配比!$C$2:$C$91,"")</f>
        <v/>
      </c>
      <c r="E39" s="4"/>
      <c r="F39" s="62"/>
      <c r="G39" s="74">
        <v>0</v>
      </c>
      <c r="H39" s="75">
        <v>3</v>
      </c>
      <c r="I39" s="76">
        <f t="shared" si="4"/>
        <v>0.81909722222222325</v>
      </c>
      <c r="J39" s="65" t="e">
        <f t="shared" si="5"/>
        <v>#VALUE!</v>
      </c>
    </row>
    <row r="40" spans="1:10" x14ac:dyDescent="0.4">
      <c r="A40" s="4">
        <f t="shared" si="3"/>
        <v>39</v>
      </c>
      <c r="B40" s="4" t="str">
        <f>_xlfn.XLOOKUP($C40,舞种配比!$B$2:$B$91,舞种配比!$A$2:$A$91,"")</f>
        <v/>
      </c>
      <c r="C40" s="15" t="str">
        <f t="array" ref="C40">_xlfn.LET(
   _xlpm.keywords, _xlfn.SORTBY(舞种配比!$B$2:$B$50, LEN(舞种配比!$B$2:$B$50), -1),
   _xlfn.XLOOKUP(TRUE, ISNUMBER(SEARCH(_xlpm.keywords, E40)), _xlpm.keywords, "")
)</f>
        <v/>
      </c>
      <c r="D40" s="5" t="str">
        <f>_xlfn.XLOOKUP($C40,舞种配比!$B$2:$B$91,舞种配比!$C$2:$C$91,"")</f>
        <v/>
      </c>
      <c r="E40" s="4"/>
      <c r="F40" s="62"/>
      <c r="G40" s="74">
        <v>0</v>
      </c>
      <c r="H40" s="75">
        <v>3</v>
      </c>
      <c r="I40" s="76">
        <f t="shared" si="4"/>
        <v>0.81927083333333439</v>
      </c>
      <c r="J40" s="65" t="e">
        <f t="shared" si="5"/>
        <v>#VALUE!</v>
      </c>
    </row>
    <row r="41" spans="1:10" x14ac:dyDescent="0.4">
      <c r="A41" s="4">
        <f t="shared" si="3"/>
        <v>40</v>
      </c>
      <c r="B41" s="4" t="str">
        <f>_xlfn.XLOOKUP($C41,舞种配比!$B$2:$B$91,舞种配比!$A$2:$A$91,"")</f>
        <v/>
      </c>
      <c r="C41" s="15" t="str">
        <f t="array" ref="C41">_xlfn.LET(
   _xlpm.keywords, _xlfn.SORTBY(舞种配比!$B$2:$B$50, LEN(舞种配比!$B$2:$B$50), -1),
   _xlfn.XLOOKUP(TRUE, ISNUMBER(SEARCH(_xlpm.keywords, E41)), _xlpm.keywords, "")
)</f>
        <v/>
      </c>
      <c r="D41" s="8" t="str">
        <f>_xlfn.XLOOKUP($C41,舞种配比!$B$2:$B$91,舞种配比!$C$2:$C$91,"")</f>
        <v/>
      </c>
      <c r="E41" s="4"/>
      <c r="F41" s="62"/>
      <c r="G41" s="74">
        <v>0</v>
      </c>
      <c r="H41" s="75">
        <v>3</v>
      </c>
      <c r="I41" s="76">
        <f t="shared" si="4"/>
        <v>0.81944444444444553</v>
      </c>
      <c r="J41" s="65" t="e">
        <f t="shared" si="5"/>
        <v>#VALUE!</v>
      </c>
    </row>
    <row r="42" spans="1:10" x14ac:dyDescent="0.4">
      <c r="A42" s="4">
        <f t="shared" si="3"/>
        <v>41</v>
      </c>
      <c r="B42" s="4" t="str">
        <f>_xlfn.XLOOKUP($C42,舞种配比!$B$2:$B$91,舞种配比!$A$2:$A$91,"")</f>
        <v/>
      </c>
      <c r="C42" s="15" t="str">
        <f t="array" ref="C42">_xlfn.LET(
   _xlpm.keywords, _xlfn.SORTBY(舞种配比!$B$2:$B$50, LEN(舞种配比!$B$2:$B$50), -1),
   _xlfn.XLOOKUP(TRUE, ISNUMBER(SEARCH(_xlpm.keywords, E42)), _xlpm.keywords, "")
)</f>
        <v/>
      </c>
      <c r="D42" s="5" t="str">
        <f>_xlfn.XLOOKUP($C42,舞种配比!$B$2:$B$91,舞种配比!$C$2:$C$91,"")</f>
        <v/>
      </c>
      <c r="E42" s="4"/>
      <c r="F42" s="62"/>
      <c r="G42" s="74">
        <v>0</v>
      </c>
      <c r="H42" s="75">
        <v>3</v>
      </c>
      <c r="I42" s="76">
        <f t="shared" si="4"/>
        <v>0.81961805555555667</v>
      </c>
      <c r="J42" s="65" t="e">
        <f t="shared" si="5"/>
        <v>#VALUE!</v>
      </c>
    </row>
    <row r="43" spans="1:10" x14ac:dyDescent="0.4">
      <c r="A43" s="4">
        <f t="shared" si="3"/>
        <v>42</v>
      </c>
      <c r="B43" s="4" t="str">
        <f>_xlfn.XLOOKUP($C43,舞种配比!$B$2:$B$91,舞种配比!$A$2:$A$91,"")</f>
        <v/>
      </c>
      <c r="C43" s="15" t="str">
        <f t="array" ref="C43">_xlfn.LET(
   _xlpm.keywords, _xlfn.SORTBY(舞种配比!$B$2:$B$50, LEN(舞种配比!$B$2:$B$50), -1),
   _xlfn.XLOOKUP(TRUE, ISNUMBER(SEARCH(_xlpm.keywords, E43)), _xlpm.keywords, "")
)</f>
        <v/>
      </c>
      <c r="D43" s="5" t="str">
        <f>_xlfn.XLOOKUP($C43,舞种配比!$B$2:$B$91,舞种配比!$C$2:$C$91,"")</f>
        <v/>
      </c>
      <c r="E43" s="9"/>
      <c r="F43" s="62"/>
      <c r="G43" s="74">
        <v>0</v>
      </c>
      <c r="H43" s="75">
        <v>3</v>
      </c>
      <c r="I43" s="76">
        <f t="shared" si="4"/>
        <v>0.81979166666666781</v>
      </c>
      <c r="J43" s="65" t="e">
        <f t="shared" si="5"/>
        <v>#VALUE!</v>
      </c>
    </row>
    <row r="44" spans="1:10" x14ac:dyDescent="0.4">
      <c r="A44" s="4">
        <f t="shared" si="3"/>
        <v>43</v>
      </c>
      <c r="B44" s="4" t="str">
        <f>_xlfn.XLOOKUP($C44,舞种配比!$B$2:$B$91,舞种配比!$A$2:$A$91,"")</f>
        <v/>
      </c>
      <c r="C44" s="15" t="str">
        <f t="array" ref="C44">_xlfn.LET(
   _xlpm.keywords, _xlfn.SORTBY(舞种配比!$B$2:$B$50, LEN(舞种配比!$B$2:$B$50), -1),
   _xlfn.XLOOKUP(TRUE, ISNUMBER(SEARCH(_xlpm.keywords, E44)), _xlpm.keywords, "")
)</f>
        <v/>
      </c>
      <c r="D44" s="7" t="str">
        <f>_xlfn.XLOOKUP($C44,舞种配比!$B$2:$B$91,舞种配比!$C$2:$C$91,"")</f>
        <v/>
      </c>
      <c r="E44" s="9"/>
      <c r="F44" s="62"/>
      <c r="G44" s="74">
        <v>0</v>
      </c>
      <c r="H44" s="75">
        <v>3</v>
      </c>
      <c r="I44" s="76">
        <f t="shared" si="4"/>
        <v>0.81996527777777894</v>
      </c>
      <c r="J44" s="65" t="e">
        <f t="shared" si="5"/>
        <v>#VALUE!</v>
      </c>
    </row>
    <row r="45" spans="1:10" x14ac:dyDescent="0.4">
      <c r="A45" s="4">
        <f t="shared" si="3"/>
        <v>44</v>
      </c>
      <c r="B45" s="4" t="str">
        <f>_xlfn.XLOOKUP($C45,舞种配比!$B$2:$B$91,舞种配比!$A$2:$A$91,"")</f>
        <v/>
      </c>
      <c r="C45" s="15" t="str">
        <f t="array" ref="C45">_xlfn.LET(
   _xlpm.keywords, _xlfn.SORTBY(舞种配比!$B$2:$B$50, LEN(舞种配比!$B$2:$B$50), -1),
   _xlfn.XLOOKUP(TRUE, ISNUMBER(SEARCH(_xlpm.keywords, E45)), _xlpm.keywords, "")
)</f>
        <v/>
      </c>
      <c r="D45" s="7" t="str">
        <f>_xlfn.XLOOKUP($C45,舞种配比!$B$2:$B$91,舞种配比!$C$2:$C$91,"")</f>
        <v/>
      </c>
      <c r="E45" s="9"/>
      <c r="F45" s="62"/>
      <c r="G45" s="74">
        <v>0</v>
      </c>
      <c r="H45" s="75">
        <v>3</v>
      </c>
      <c r="I45" s="76">
        <f t="shared" si="4"/>
        <v>0.82013888888889008</v>
      </c>
      <c r="J45" s="65" t="e">
        <f t="shared" si="5"/>
        <v>#VALUE!</v>
      </c>
    </row>
    <row r="46" spans="1:10" x14ac:dyDescent="0.4">
      <c r="A46" s="4">
        <f t="shared" si="3"/>
        <v>45</v>
      </c>
      <c r="B46" s="4" t="str">
        <f>_xlfn.XLOOKUP($C46,舞种配比!$B$2:$B$91,舞种配比!$A$2:$A$91,"")</f>
        <v/>
      </c>
      <c r="C46" s="15" t="str">
        <f t="array" ref="C46">_xlfn.LET(
   _xlpm.keywords, _xlfn.SORTBY(舞种配比!$B$2:$B$50, LEN(舞种配比!$B$2:$B$50), -1),
   _xlfn.XLOOKUP(TRUE, ISNUMBER(SEARCH(_xlpm.keywords, E46)), _xlpm.keywords, "")
)</f>
        <v/>
      </c>
      <c r="D46" s="5" t="str">
        <f>_xlfn.XLOOKUP($C46,舞种配比!$B$2:$B$91,舞种配比!$C$2:$C$91,"")</f>
        <v/>
      </c>
      <c r="E46" s="4"/>
      <c r="F46" s="62"/>
      <c r="G46" s="74">
        <v>0</v>
      </c>
      <c r="H46" s="75">
        <v>3</v>
      </c>
      <c r="I46" s="76">
        <f t="shared" si="4"/>
        <v>0.82031250000000122</v>
      </c>
      <c r="J46" s="65" t="e">
        <f t="shared" si="5"/>
        <v>#VALUE!</v>
      </c>
    </row>
    <row r="47" spans="1:10" x14ac:dyDescent="0.4">
      <c r="A47" s="4">
        <f t="shared" si="3"/>
        <v>46</v>
      </c>
      <c r="B47" s="4" t="str">
        <f>_xlfn.XLOOKUP($C47,舞种配比!$B$2:$B$91,舞种配比!$A$2:$A$91,"")</f>
        <v/>
      </c>
      <c r="C47" s="15" t="str">
        <f t="array" ref="C47">_xlfn.LET(
   _xlpm.keywords, _xlfn.SORTBY(舞种配比!$B$2:$B$50, LEN(舞种配比!$B$2:$B$50), -1),
   _xlfn.XLOOKUP(TRUE, ISNUMBER(SEARCH(_xlpm.keywords, E47)), _xlpm.keywords, "")
)</f>
        <v/>
      </c>
      <c r="D47" s="5" t="str">
        <f>_xlfn.XLOOKUP($C47,舞种配比!$B$2:$B$91,舞种配比!$C$2:$C$91,"")</f>
        <v/>
      </c>
      <c r="E47" s="4"/>
      <c r="F47" s="62"/>
      <c r="G47" s="74">
        <v>0</v>
      </c>
      <c r="H47" s="75">
        <v>3</v>
      </c>
      <c r="I47" s="76">
        <f t="shared" si="4"/>
        <v>0.82048611111111236</v>
      </c>
      <c r="J47" s="65" t="e">
        <f t="shared" si="5"/>
        <v>#VALUE!</v>
      </c>
    </row>
    <row r="48" spans="1:10" x14ac:dyDescent="0.4">
      <c r="A48" s="4">
        <f t="shared" si="3"/>
        <v>47</v>
      </c>
      <c r="B48" s="4" t="str">
        <f>_xlfn.XLOOKUP($C48,舞种配比!$B$2:$B$91,舞种配比!$A$2:$A$91,"")</f>
        <v/>
      </c>
      <c r="C48" s="15" t="str">
        <f t="array" ref="C48">_xlfn.LET(
   _xlpm.keywords, _xlfn.SORTBY(舞种配比!$B$2:$B$50, LEN(舞种配比!$B$2:$B$50), -1),
   _xlfn.XLOOKUP(TRUE, ISNUMBER(SEARCH(_xlpm.keywords, E48)), _xlpm.keywords, "")
)</f>
        <v/>
      </c>
      <c r="D48" s="5" t="str">
        <f>_xlfn.XLOOKUP($C48,舞种配比!$B$2:$B$91,舞种配比!$C$2:$C$91,"")</f>
        <v/>
      </c>
      <c r="E48" s="9"/>
      <c r="F48" s="62"/>
      <c r="G48" s="74">
        <v>0</v>
      </c>
      <c r="H48" s="75">
        <v>3</v>
      </c>
      <c r="I48" s="76">
        <f t="shared" si="4"/>
        <v>0.8206597222222235</v>
      </c>
      <c r="J48" s="65" t="e">
        <f t="shared" si="5"/>
        <v>#VALUE!</v>
      </c>
    </row>
    <row r="49" spans="1:10" x14ac:dyDescent="0.4">
      <c r="A49" s="4">
        <f t="shared" si="3"/>
        <v>48</v>
      </c>
      <c r="B49" s="4" t="str">
        <f>_xlfn.XLOOKUP($C49,舞种配比!$B$2:$B$91,舞种配比!$A$2:$A$91,"")</f>
        <v/>
      </c>
      <c r="C49" s="15" t="str">
        <f t="array" ref="C49">_xlfn.LET(
   _xlpm.keywords, _xlfn.SORTBY(舞种配比!$B$2:$B$50, LEN(舞种配比!$B$2:$B$50), -1),
   _xlfn.XLOOKUP(TRUE, ISNUMBER(SEARCH(_xlpm.keywords, E49)), _xlpm.keywords, "")
)</f>
        <v/>
      </c>
      <c r="D49" s="5" t="str">
        <f>_xlfn.XLOOKUP($C49,舞种配比!$B$2:$B$91,舞种配比!$C$2:$C$91,"")</f>
        <v/>
      </c>
      <c r="E49" s="9"/>
      <c r="F49" s="62"/>
      <c r="G49" s="74">
        <v>0</v>
      </c>
      <c r="H49" s="75">
        <v>3</v>
      </c>
      <c r="I49" s="76">
        <f t="shared" si="4"/>
        <v>0.82083333333333464</v>
      </c>
      <c r="J49" s="65" t="e">
        <f t="shared" si="5"/>
        <v>#VALUE!</v>
      </c>
    </row>
    <row r="50" spans="1:10" x14ac:dyDescent="0.4">
      <c r="A50" s="4">
        <f t="shared" si="3"/>
        <v>49</v>
      </c>
      <c r="B50" s="4" t="str">
        <f>_xlfn.XLOOKUP($C50,舞种配比!$B$2:$B$91,舞种配比!$A$2:$A$91,"")</f>
        <v/>
      </c>
      <c r="C50" s="15" t="str">
        <f t="array" ref="C50">_xlfn.LET(
   _xlpm.keywords, _xlfn.SORTBY(舞种配比!$B$2:$B$50, LEN(舞种配比!$B$2:$B$50), -1),
   _xlfn.XLOOKUP(TRUE, ISNUMBER(SEARCH(_xlpm.keywords, E50)), _xlpm.keywords, "")
)</f>
        <v/>
      </c>
      <c r="D50" s="8" t="str">
        <f>_xlfn.XLOOKUP($C50,舞种配比!$B$2:$B$91,舞种配比!$C$2:$C$91,"")</f>
        <v/>
      </c>
      <c r="E50" s="7"/>
      <c r="F50" s="62"/>
      <c r="G50" s="74">
        <v>0</v>
      </c>
      <c r="H50" s="75">
        <v>3</v>
      </c>
      <c r="I50" s="76">
        <f t="shared" si="4"/>
        <v>0.82100694444444577</v>
      </c>
      <c r="J50" s="65" t="e">
        <f t="shared" si="5"/>
        <v>#VALUE!</v>
      </c>
    </row>
    <row r="51" spans="1:10" x14ac:dyDescent="0.4">
      <c r="A51" s="4">
        <f t="shared" si="3"/>
        <v>50</v>
      </c>
      <c r="B51" s="4" t="str">
        <f>_xlfn.XLOOKUP($C51,舞种配比!$B$2:$B$91,舞种配比!$A$2:$A$91,"")</f>
        <v/>
      </c>
      <c r="C51" s="15" t="str">
        <f t="array" ref="C51">_xlfn.LET(
   _xlpm.keywords, _xlfn.SORTBY(舞种配比!$B$2:$B$50, LEN(舞种配比!$B$2:$B$50), -1),
   _xlfn.XLOOKUP(TRUE, ISNUMBER(SEARCH(_xlpm.keywords, E51)), _xlpm.keywords, "")
)</f>
        <v/>
      </c>
      <c r="D51" s="8" t="str">
        <f>_xlfn.XLOOKUP($C51,舞种配比!$B$2:$B$91,舞种配比!$C$2:$C$91,"")</f>
        <v/>
      </c>
      <c r="E51" s="8"/>
      <c r="F51" s="62"/>
      <c r="G51" s="74">
        <v>0</v>
      </c>
      <c r="H51" s="75">
        <v>3</v>
      </c>
      <c r="I51" s="76">
        <f t="shared" si="4"/>
        <v>0.82118055555555691</v>
      </c>
      <c r="J51" s="65" t="e">
        <f t="shared" si="5"/>
        <v>#VALUE!</v>
      </c>
    </row>
    <row r="52" spans="1:10" x14ac:dyDescent="0.4">
      <c r="A52" s="4">
        <f t="shared" si="3"/>
        <v>51</v>
      </c>
      <c r="B52" s="4" t="str">
        <f>_xlfn.XLOOKUP($C52,舞种配比!$B$2:$B$91,舞种配比!$A$2:$A$91,"")</f>
        <v/>
      </c>
      <c r="C52" s="15" t="str">
        <f t="array" ref="C52">_xlfn.LET(
   _xlpm.keywords, _xlfn.SORTBY(舞种配比!$B$2:$B$50, LEN(舞种配比!$B$2:$B$50), -1),
   _xlfn.XLOOKUP(TRUE, ISNUMBER(SEARCH(_xlpm.keywords, E52)), _xlpm.keywords, "")
)</f>
        <v/>
      </c>
      <c r="D52" s="5" t="str">
        <f>_xlfn.XLOOKUP($C52,舞种配比!$B$2:$B$91,舞种配比!$C$2:$C$91,"")</f>
        <v/>
      </c>
      <c r="E52" s="9"/>
      <c r="F52" s="67"/>
      <c r="G52" s="74">
        <v>0</v>
      </c>
      <c r="H52" s="75"/>
      <c r="J52" s="65" t="e">
        <f t="shared" si="5"/>
        <v>#VALUE!</v>
      </c>
    </row>
    <row r="53" spans="1:10" ht="15.4" customHeight="1" x14ac:dyDescent="0.4">
      <c r="A53" s="63"/>
      <c r="B53" s="63" t="str">
        <f>_xlfn.XLOOKUP($C53,舞种配比!$B$2:$B$91,舞种配比!$A$2:$A$91,"")</f>
        <v/>
      </c>
      <c r="C53" s="64" t="s">
        <v>188</v>
      </c>
      <c r="D53" s="64" t="str">
        <f>_xlfn.XLOOKUP($C53,舞种配比!$B$2:$B$91,舞种配比!$C$2:$C$91,"")</f>
        <v/>
      </c>
      <c r="E53" s="66"/>
      <c r="F53" s="68">
        <f>SUM(F2:F52)</f>
        <v>0</v>
      </c>
      <c r="G53" s="69">
        <f>COUNTA(E:E)-1</f>
        <v>0</v>
      </c>
      <c r="H53" s="70" t="str">
        <f t="array" ref="H53">_xlfn.LET(
    _xlpm.总分钟, SUMPRODUCT((H2:H52&lt;&gt;"") * H2:H52 + (H2:H52="") * (HOUR(F2:F52)*60 + MINUTE(F2:F52) + SECOND(F2:F52)/60)),
    _xlpm.小时, INT(_xlpm.总分钟/60),
    _xlpm.分钟, INT(MOD(_xlpm.总分钟,60)),
    IF(_xlpm.小时&gt;0, _xlpm.小时 &amp; "小时" &amp; _xlpm.分钟 &amp; "分钟", _xlpm.分钟 &amp; "分钟")
)</f>
        <v>2小时30分钟</v>
      </c>
    </row>
    <row r="54" spans="1:10" x14ac:dyDescent="0.4">
      <c r="F54" s="71" t="s">
        <v>189</v>
      </c>
      <c r="G54" s="72" t="s">
        <v>190</v>
      </c>
      <c r="H54" s="72" t="s">
        <v>191</v>
      </c>
    </row>
  </sheetData>
  <phoneticPr fontId="1" type="noConversion"/>
  <conditionalFormatting sqref="A1:H52">
    <cfRule type="expression" dxfId="11" priority="4">
      <formula>(CELL("row")=ROW())+(CELL("col")=COLUMN())</formula>
    </cfRule>
  </conditionalFormatting>
  <conditionalFormatting sqref="B2:B100">
    <cfRule type="containsText" dxfId="10" priority="8" operator="containsText" text="网红舞">
      <formula>NOT(ISERROR(SEARCH("网红舞",B2)))</formula>
    </cfRule>
    <cfRule type="containsText" dxfId="9" priority="9" operator="containsText" text="集体舞">
      <formula>NOT(ISERROR(SEARCH("集体舞",B2)))</formula>
    </cfRule>
    <cfRule type="containsText" dxfId="8" priority="10" operator="containsText" text="交谊舞">
      <formula>NOT(ISERROR(SEARCH("交谊舞",B2)))</formula>
    </cfRule>
    <cfRule type="containsText" dxfId="7" priority="11" operator="containsText" text="地方舞">
      <formula>NOT(ISERROR(SEARCH("地方舞",B2)))</formula>
    </cfRule>
    <cfRule type="containsText" dxfId="6" priority="12" operator="containsText" text="拉丁舞">
      <formula>NOT(ISERROR(SEARCH("拉丁舞",B2)))</formula>
    </cfRule>
    <cfRule type="containsText" dxfId="5" priority="13" operator="containsText" text="摩登舞">
      <formula>NOT(ISERROR(SEARCH("摩登舞",B2)))</formula>
    </cfRule>
  </conditionalFormatting>
  <conditionalFormatting sqref="D2:D100">
    <cfRule type="containsText" dxfId="4" priority="14" operator="containsText" text="快">
      <formula>NOT(ISERROR(SEARCH("快",D2)))</formula>
    </cfRule>
    <cfRule type="containsText" dxfId="3" priority="15" operator="containsText" text="中">
      <formula>NOT(ISERROR(SEARCH("中",D2)))</formula>
    </cfRule>
    <cfRule type="containsText" dxfId="2" priority="16" operator="containsText" text="慢">
      <formula>NOT(ISERROR(SEARCH("慢",D2)))</formula>
    </cfRule>
  </conditionalFormatting>
  <conditionalFormatting sqref="F2:F52 F54:F99">
    <cfRule type="expression" dxfId="1" priority="6">
      <formula>AND(F2&lt;&gt;"", F2&gt;TIME(0,4,30))</formula>
    </cfRule>
    <cfRule type="expression" dxfId="0" priority="7">
      <formula>AND(F2&lt;&gt;"", F2&lt;TIME(0,2,0))</formula>
    </cfRule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舞种配比</vt:lpstr>
      <vt:lpstr>条件记录</vt:lpstr>
      <vt:lpstr>排布结果</vt:lpstr>
      <vt:lpstr>排列检查</vt:lpstr>
      <vt:lpstr>完整曲序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FangHan Zhu</dc:creator>
  <cp:lastModifiedBy>FangHan Zhu</cp:lastModifiedBy>
  <dcterms:created xsi:type="dcterms:W3CDTF">2026-05-03T02:06:53Z</dcterms:created>
  <dcterms:modified xsi:type="dcterms:W3CDTF">2026-08-14T18:26:38Z</dcterms:modified>
</cp:coreProperties>
</file>